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ACM EN VENTA " sheetId="6" r:id="rId1"/>
    <sheet name="ACM EN ARRIENDO " sheetId="7" r:id="rId2"/>
  </sheets>
  <definedNames>
    <definedName name="_xlnm.Print_Area" localSheetId="0">'ACM EN VENTA '!$A$1:$AD$29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<sst xmlns="http://schemas.openxmlformats.org/spreadsheetml/2006/main" count="248" uniqueCount="72">
  <si>
    <t xml:space="preserve">ACM-  Análisis de Mercado Comparativo </t>
  </si>
  <si>
    <t>Fecha:JULIO 21  - 2025</t>
  </si>
  <si>
    <t xml:space="preserve"> CARRERA 17 No. 134-79</t>
  </si>
  <si>
    <t>Bogotá</t>
  </si>
  <si>
    <t>Dirección, links</t>
  </si>
  <si>
    <t xml:space="preserve">VENTA </t>
  </si>
  <si>
    <t>Area Habitable</t>
  </si>
  <si>
    <t>Terraza</t>
  </si>
  <si>
    <t>Area Total</t>
  </si>
  <si>
    <t>administracion</t>
  </si>
  <si>
    <t>Alcobas</t>
  </si>
  <si>
    <t>Baños</t>
  </si>
  <si>
    <t>Parqueadero</t>
  </si>
  <si>
    <t>Walking closet</t>
  </si>
  <si>
    <t>LOFT</t>
  </si>
  <si>
    <t>Estudio/Sala TV</t>
  </si>
  <si>
    <t>Piso</t>
  </si>
  <si>
    <t>Alcob. Servic</t>
  </si>
  <si>
    <t>Depósito</t>
  </si>
  <si>
    <t>Terraza/Balcón (Área)</t>
  </si>
  <si>
    <t>Edad construcción</t>
  </si>
  <si>
    <t>Interior/Exterior</t>
  </si>
  <si>
    <t>Ascensor</t>
  </si>
  <si>
    <t>Calidad Acabados</t>
  </si>
  <si>
    <t>Estado, Conservación *</t>
  </si>
  <si>
    <t>Ubicación</t>
  </si>
  <si>
    <t>Estrato</t>
  </si>
  <si>
    <t>observaciones</t>
  </si>
  <si>
    <t>Medio de Contacto</t>
  </si>
  <si>
    <t>Contacto **</t>
  </si>
  <si>
    <t>Area</t>
  </si>
  <si>
    <r>
      <rPr>
        <b/>
        <sz val="10"/>
        <rFont val="Arial"/>
        <charset val="134"/>
      </rPr>
      <t>$por m</t>
    </r>
    <r>
      <rPr>
        <b/>
        <vertAlign val="superscript"/>
        <sz val="10"/>
        <rFont val="Arial"/>
        <charset val="134"/>
      </rPr>
      <t>2</t>
    </r>
  </si>
  <si>
    <t>m2</t>
  </si>
  <si>
    <r>
      <rPr>
        <b/>
        <sz val="10"/>
        <rFont val="Arial"/>
        <charset val="134"/>
      </rPr>
      <t>$ x m</t>
    </r>
    <r>
      <rPr>
        <b/>
        <vertAlign val="superscript"/>
        <sz val="10"/>
        <rFont val="Arial"/>
        <charset val="134"/>
      </rPr>
      <t>2</t>
    </r>
  </si>
  <si>
    <t>En Estudio</t>
  </si>
  <si>
    <t>NO</t>
  </si>
  <si>
    <t>I</t>
  </si>
  <si>
    <t>En VENTA</t>
  </si>
  <si>
    <t>https://www.fincaraiz.com.co/apartaestudio-en-venta-en-los-cedritos-bogota/192268247?_gl=1*877ais*_up*MQ..*_gs*MQ..&amp;gclid=Cj0KCQjwxJvBBhDuARIsAGUgNfhuZfIi3kbicELCtc9fSjlAW8mGQrprJ41xTnRIPDJ095oyLivWy3oaAtYHEALw_wcB&amp;gbraid=0AAAAADxcnHj9Tayk2TP5-z1YqVdevt9EU</t>
  </si>
  <si>
    <t>SI</t>
  </si>
  <si>
    <t>23</t>
  </si>
  <si>
    <t>E</t>
  </si>
  <si>
    <t xml:space="preserve"> 3762-633829</t>
  </si>
  <si>
    <t xml:space="preserve">C.C. </t>
  </si>
  <si>
    <t>https://www.fincaraiz.com.co/apartaestudio-en-venta-en-los-cedritos-bogota/192318000</t>
  </si>
  <si>
    <t>25</t>
  </si>
  <si>
    <t>F.R.</t>
  </si>
  <si>
    <t>https://www.fincaraiz.com.co/apartamento-en-venta-en-cedritos-bogota/192246298</t>
  </si>
  <si>
    <t>8</t>
  </si>
  <si>
    <t>https://www.fincaraiz.com.co/apartamento-en-venta-en-cedritos-bogota/10613014</t>
  </si>
  <si>
    <t>https://www.fincaraiz.com.co/apartamento-en-venta-en-los-cedros-bogota/191119941</t>
  </si>
  <si>
    <t>15</t>
  </si>
  <si>
    <t>https://www.fincaraiz.com.co/apartamento-en-venta-en-cedritos-bogota/192204699</t>
  </si>
  <si>
    <t>0</t>
  </si>
  <si>
    <t>https://www.fincaraiz.com.co/apartamento-en-venta-en-cedritos-bogota/191504386</t>
  </si>
  <si>
    <t>https://www.fincaraiz.com.co/apartamento-en-venta-en-usaquen-bogota/10574456</t>
  </si>
  <si>
    <t>vlr promedio</t>
  </si>
  <si>
    <t xml:space="preserve">Elaborado por: Diana Patricia Barrera </t>
  </si>
  <si>
    <t>$  PROM  FINAL SUGERIDO INCLUIDA ADMINISTRACION</t>
  </si>
  <si>
    <t>Fecha:Mayo 20 - 2025</t>
  </si>
  <si>
    <t xml:space="preserve"> CALLE 145 #23-06 Edf Genesis Cedritos </t>
  </si>
  <si>
    <t>ARRIENDO</t>
  </si>
  <si>
    <t>En ARRIENDO</t>
  </si>
  <si>
    <t>https://www.fincaraiz.com.co/apartaestudio-en-arriendo-en-cedritos-bogota/192549572?_gl=1*1jzvm83*_up*MQ..*_gs*MQ..&amp;gclid=CjwKCAjw9uPCBhATEiwABHN9K3Av_Lyc_ybLGrx6M9KxBX73QKOZGw_PnyoBnyoj2UPnSJIdPbtxuBoClnUQAvD_BwE&amp;gbraid=0AAAAADxcnHgLG17pGDSvEROQTmhZQ7yzY</t>
  </si>
  <si>
    <t>https://www.ciencuadras.com/inmueble/apartaestudio-en-arriendo-en-cjr-pasorrobles-bogota-3366738?utm_source=google&amp;utm_medium=cpc&amp;utm_campaign=arriendormkt&amp;utm_content=search&amp;gad_source=1&amp;gad_campaignid=13163942603&amp;gbraid=0AAAAADAn3OMET7nRBPHaV3yMRPtn8HRI5&amp;gclid=CjwKCAjw9uPCBhATEiwABHN9K4Mb8IE1_pjwWLDnenMeLZ018-Qu8jnjUQSsElyUrXiNEkMFxAf5-xoCkJYQAvD_BwE&amp;v=CEDRITOS&amp;d=1</t>
  </si>
  <si>
    <t>953306-3366738</t>
  </si>
  <si>
    <t>C.C.</t>
  </si>
  <si>
    <t>https://www.ciencuadras.com/inmueble/apartaestudio-en-arriendo-en-caobos-salazar-bogota-3378900</t>
  </si>
  <si>
    <t>10</t>
  </si>
  <si>
    <r>
      <rPr>
        <sz val="11"/>
        <color rgb="FF3B8D24"/>
        <rFont val="Arial"/>
        <charset val="134"/>
      </rPr>
      <t> </t>
    </r>
    <r>
      <rPr>
        <sz val="11"/>
        <color rgb="FF3B8D24"/>
        <rFont val="Arial"/>
        <charset val="134"/>
      </rPr>
      <t>290286-203162</t>
    </r>
  </si>
  <si>
    <t>https://www.ciencuadras.com/inmueble/apartaestudio-en-arriendo-en-acacias-usaquen-bogota-3338305</t>
  </si>
  <si>
    <t>21875-3338305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</si>
</sst>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_-* #,##0_-;\-* #,##0_-;_-* &quot;-&quot;??_-;_-@_-"/>
    <numFmt numFmtId="180" formatCode="0.0%"/>
    <numFmt numFmtId="181" formatCode="&quot;$&quot;\ #,##0"/>
  </numFmts>
  <fonts count="39">
    <font>
      <sz val="10"/>
      <name val="Arial"/>
      <charset val="134"/>
    </font>
    <font>
      <b/>
      <sz val="10"/>
      <name val="Arial"/>
      <charset val="134"/>
    </font>
    <font>
      <sz val="10"/>
      <color rgb="FFFF0000"/>
      <name val="Arial"/>
      <charset val="134"/>
    </font>
    <font>
      <b/>
      <sz val="18"/>
      <color rgb="FFFF0000"/>
      <name val="Arial"/>
      <charset val="134"/>
    </font>
    <font>
      <u/>
      <sz val="10"/>
      <color theme="10"/>
      <name val="Arial"/>
      <charset val="134"/>
    </font>
    <font>
      <b/>
      <sz val="10"/>
      <color theme="3"/>
      <name val="Arial"/>
      <charset val="134"/>
    </font>
    <font>
      <u/>
      <sz val="10"/>
      <color rgb="FFFF0000"/>
      <name val="Arial"/>
      <charset val="134"/>
    </font>
    <font>
      <b/>
      <sz val="10"/>
      <color rgb="FFFF0000"/>
      <name val="Arial"/>
      <charset val="134"/>
    </font>
    <font>
      <b/>
      <sz val="10"/>
      <color theme="4" tint="-0.249977111117893"/>
      <name val="Arial"/>
      <charset val="134"/>
    </font>
    <font>
      <b/>
      <sz val="10"/>
      <color theme="4" tint="-0.249977111117893"/>
      <name val="Arial"/>
      <charset val="134"/>
    </font>
    <font>
      <b/>
      <sz val="8"/>
      <name val="Arial"/>
      <charset val="134"/>
    </font>
    <font>
      <sz val="10"/>
      <color theme="3"/>
      <name val="Arial"/>
      <charset val="134"/>
    </font>
    <font>
      <b/>
      <sz val="10"/>
      <color rgb="FF222222"/>
      <name val="Lato"/>
      <charset val="134"/>
    </font>
    <font>
      <sz val="11"/>
      <color rgb="FF3B8D24"/>
      <name val="Arial"/>
      <charset val="134"/>
    </font>
    <font>
      <sz val="10"/>
      <color theme="3"/>
      <name val="Arial"/>
      <charset val="134"/>
    </font>
    <font>
      <sz val="10"/>
      <color rgb="FF456787"/>
      <name val="Arial"/>
      <charset val="134"/>
    </font>
    <font>
      <b/>
      <sz val="9"/>
      <color rgb="FF666666"/>
      <name val="Arial"/>
      <charset val="134"/>
    </font>
    <font>
      <b/>
      <sz val="9"/>
      <color rgb="FFFF0000"/>
      <name val="Arial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19" fillId="4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6" applyNumberFormat="0" applyAlignment="0" applyProtection="0">
      <alignment vertical="center"/>
    </xf>
    <xf numFmtId="0" fontId="28" fillId="6" borderId="17" applyNumberFormat="0" applyAlignment="0" applyProtection="0">
      <alignment vertical="center"/>
    </xf>
    <xf numFmtId="0" fontId="29" fillId="6" borderId="16" applyNumberFormat="0" applyAlignment="0" applyProtection="0">
      <alignment vertical="center"/>
    </xf>
    <xf numFmtId="0" fontId="30" fillId="7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35" borderId="21" applyNumberFormat="0" applyFont="0" applyAlignment="0" applyProtection="0"/>
  </cellStyleXfs>
  <cellXfs count="85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178" fontId="0" fillId="2" borderId="0" xfId="1" applyNumberFormat="1" applyFont="1" applyFill="1" applyAlignment="1">
      <alignment vertical="center"/>
    </xf>
    <xf numFmtId="178" fontId="2" fillId="2" borderId="0" xfId="1" applyNumberFormat="1" applyFont="1" applyFill="1" applyAlignment="1">
      <alignment vertical="center"/>
    </xf>
    <xf numFmtId="0" fontId="0" fillId="2" borderId="0" xfId="0" applyFont="1" applyFill="1"/>
    <xf numFmtId="178" fontId="0" fillId="2" borderId="0" xfId="1" applyNumberFormat="1" applyFont="1" applyFill="1" applyAlignment="1">
      <alignment horizontal="center" vertical="center" textRotation="90"/>
    </xf>
    <xf numFmtId="58" fontId="0" fillId="2" borderId="0" xfId="0" applyNumberFormat="1" applyFont="1" applyFill="1"/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textRotation="90" wrapText="1" shrinkToFit="1"/>
    </xf>
    <xf numFmtId="0" fontId="1" fillId="2" borderId="2" xfId="0" applyFont="1" applyFill="1" applyBorder="1" applyAlignment="1">
      <alignment horizontal="left" vertical="center" wrapText="1"/>
    </xf>
    <xf numFmtId="178" fontId="1" fillId="2" borderId="2" xfId="1" applyNumberFormat="1" applyFont="1" applyFill="1" applyBorder="1" applyAlignment="1">
      <alignment vertical="center"/>
    </xf>
    <xf numFmtId="176" fontId="1" fillId="2" borderId="2" xfId="1" applyFont="1" applyFill="1" applyBorder="1" applyAlignment="1">
      <alignment vertical="center"/>
    </xf>
    <xf numFmtId="179" fontId="1" fillId="2" borderId="2" xfId="0" applyNumberFormat="1" applyFont="1" applyFill="1" applyBorder="1" applyAlignment="1">
      <alignment vertical="center"/>
    </xf>
    <xf numFmtId="2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178" fontId="3" fillId="2" borderId="3" xfId="1" applyNumberFormat="1" applyFont="1" applyFill="1" applyBorder="1" applyAlignment="1">
      <alignment horizontal="center" vertical="center" textRotation="90" shrinkToFit="1"/>
    </xf>
    <xf numFmtId="0" fontId="4" fillId="0" borderId="0" xfId="6"/>
    <xf numFmtId="178" fontId="5" fillId="2" borderId="2" xfId="1" applyNumberFormat="1" applyFont="1" applyFill="1" applyBorder="1" applyAlignment="1">
      <alignment vertical="center"/>
    </xf>
    <xf numFmtId="178" fontId="3" fillId="2" borderId="4" xfId="1" applyNumberFormat="1" applyFont="1" applyFill="1" applyBorder="1" applyAlignment="1">
      <alignment horizontal="center" vertical="center" textRotation="90" shrinkToFit="1"/>
    </xf>
    <xf numFmtId="0" fontId="4" fillId="0" borderId="2" xfId="6" applyBorder="1"/>
    <xf numFmtId="178" fontId="1" fillId="2" borderId="2" xfId="0" applyNumberFormat="1" applyFont="1" applyFill="1" applyBorder="1" applyAlignment="1">
      <alignment vertical="center"/>
    </xf>
    <xf numFmtId="0" fontId="4" fillId="0" borderId="2" xfId="6" applyBorder="1" applyAlignment="1">
      <alignment horizontal="distributed"/>
    </xf>
    <xf numFmtId="0" fontId="4" fillId="0" borderId="2" xfId="6" applyBorder="1" applyAlignment="1">
      <alignment wrapText="1"/>
    </xf>
    <xf numFmtId="178" fontId="3" fillId="2" borderId="2" xfId="1" applyNumberFormat="1" applyFont="1" applyFill="1" applyBorder="1" applyAlignment="1">
      <alignment horizontal="center" vertical="center" textRotation="90" shrinkToFit="1"/>
    </xf>
    <xf numFmtId="0" fontId="6" fillId="0" borderId="2" xfId="6" applyFont="1" applyBorder="1" applyAlignment="1">
      <alignment vertical="center" wrapText="1"/>
    </xf>
    <xf numFmtId="178" fontId="7" fillId="2" borderId="2" xfId="1" applyNumberFormat="1" applyFont="1" applyFill="1" applyBorder="1" applyAlignment="1">
      <alignment vertical="center"/>
    </xf>
    <xf numFmtId="178" fontId="7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left"/>
    </xf>
    <xf numFmtId="58" fontId="0" fillId="2" borderId="2" xfId="0" applyNumberFormat="1" applyFont="1" applyFill="1" applyBorder="1" applyAlignment="1">
      <alignment horizontal="left"/>
    </xf>
    <xf numFmtId="0" fontId="0" fillId="2" borderId="0" xfId="0" applyFont="1" applyFill="1" applyAlignment="1">
      <alignment horizontal="left"/>
    </xf>
    <xf numFmtId="38" fontId="0" fillId="2" borderId="0" xfId="0" applyNumberFormat="1" applyFont="1" applyFill="1"/>
    <xf numFmtId="0" fontId="1" fillId="2" borderId="2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 textRotation="90" wrapText="1"/>
    </xf>
    <xf numFmtId="178" fontId="1" fillId="2" borderId="5" xfId="1" applyNumberFormat="1" applyFont="1" applyFill="1" applyBorder="1" applyAlignment="1">
      <alignment vertical="center" textRotation="90"/>
    </xf>
    <xf numFmtId="0" fontId="1" fillId="2" borderId="5" xfId="0" applyFont="1" applyFill="1" applyBorder="1" applyAlignment="1">
      <alignment horizontal="center" vertical="center" textRotation="90" wrapText="1"/>
    </xf>
    <xf numFmtId="178" fontId="1" fillId="2" borderId="2" xfId="1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178" fontId="8" fillId="2" borderId="2" xfId="1" applyNumberFormat="1" applyFont="1" applyFill="1" applyBorder="1" applyAlignment="1">
      <alignment horizontal="center" vertical="center"/>
    </xf>
    <xf numFmtId="9" fontId="5" fillId="2" borderId="2" xfId="3" applyFont="1" applyFill="1" applyBorder="1" applyAlignment="1">
      <alignment horizontal="center" vertical="center"/>
    </xf>
    <xf numFmtId="178" fontId="5" fillId="2" borderId="2" xfId="1" applyNumberFormat="1" applyFont="1" applyFill="1" applyBorder="1" applyAlignment="1">
      <alignment horizontal="center" vertical="center"/>
    </xf>
    <xf numFmtId="180" fontId="7" fillId="2" borderId="2" xfId="3" applyNumberFormat="1" applyFont="1" applyFill="1" applyBorder="1" applyAlignment="1">
      <alignment horizontal="center" vertical="center"/>
    </xf>
    <xf numFmtId="179" fontId="7" fillId="2" borderId="2" xfId="0" applyNumberFormat="1" applyFont="1" applyFill="1" applyBorder="1" applyAlignment="1">
      <alignment vertical="center"/>
    </xf>
    <xf numFmtId="178" fontId="7" fillId="2" borderId="2" xfId="1" applyNumberFormat="1" applyFont="1" applyFill="1" applyBorder="1" applyAlignment="1">
      <alignment horizontal="center" vertical="center"/>
    </xf>
    <xf numFmtId="9" fontId="0" fillId="2" borderId="0" xfId="3" applyFont="1" applyFill="1" applyAlignment="1">
      <alignment horizontal="center" vertical="center" textRotation="90"/>
    </xf>
    <xf numFmtId="0" fontId="0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vertical="center" textRotation="90"/>
    </xf>
    <xf numFmtId="1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" fontId="8" fillId="2" borderId="2" xfId="1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" fontId="7" fillId="2" borderId="3" xfId="1" applyNumberFormat="1" applyFont="1" applyFill="1" applyBorder="1" applyAlignment="1">
      <alignment horizontal="center" vertical="center"/>
    </xf>
    <xf numFmtId="178" fontId="7" fillId="2" borderId="3" xfId="1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 textRotation="45" wrapText="1"/>
    </xf>
    <xf numFmtId="178" fontId="11" fillId="2" borderId="9" xfId="1" applyNumberFormat="1" applyFont="1" applyFill="1" applyBorder="1" applyAlignment="1">
      <alignment vertical="center" textRotation="90"/>
    </xf>
    <xf numFmtId="0" fontId="12" fillId="0" borderId="0" xfId="0" applyFont="1"/>
    <xf numFmtId="0" fontId="13" fillId="0" borderId="0" xfId="0" applyFont="1"/>
    <xf numFmtId="178" fontId="14" fillId="2" borderId="9" xfId="1" applyNumberFormat="1" applyFont="1" applyFill="1" applyBorder="1" applyAlignment="1">
      <alignment vertical="center" textRotation="90"/>
    </xf>
    <xf numFmtId="0" fontId="15" fillId="0" borderId="0" xfId="0" applyFont="1"/>
    <xf numFmtId="0" fontId="12" fillId="0" borderId="0" xfId="0" applyFont="1" applyAlignment="1">
      <alignment horizontal="right"/>
    </xf>
    <xf numFmtId="0" fontId="16" fillId="0" borderId="2" xfId="0" applyFont="1" applyBorder="1"/>
    <xf numFmtId="178" fontId="7" fillId="2" borderId="3" xfId="1" applyNumberFormat="1" applyFont="1" applyFill="1" applyBorder="1" applyAlignment="1">
      <alignment vertical="center" wrapText="1"/>
    </xf>
    <xf numFmtId="0" fontId="17" fillId="0" borderId="2" xfId="0" applyFont="1" applyBorder="1"/>
    <xf numFmtId="178" fontId="2" fillId="2" borderId="9" xfId="1" applyNumberFormat="1" applyFont="1" applyFill="1" applyBorder="1" applyAlignment="1">
      <alignment vertical="center" textRotation="90"/>
    </xf>
    <xf numFmtId="0" fontId="0" fillId="3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vertical="center" wrapText="1"/>
    </xf>
    <xf numFmtId="0" fontId="10" fillId="3" borderId="11" xfId="0" applyFont="1" applyFill="1" applyBorder="1" applyAlignment="1">
      <alignment vertical="center" wrapText="1"/>
    </xf>
    <xf numFmtId="181" fontId="18" fillId="3" borderId="12" xfId="0" applyNumberFormat="1" applyFont="1" applyFill="1" applyBorder="1" applyAlignment="1">
      <alignment vertical="center"/>
    </xf>
    <xf numFmtId="0" fontId="0" fillId="2" borderId="9" xfId="0" applyFont="1" applyFill="1" applyBorder="1"/>
  </cellXfs>
  <cellStyles count="52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94" xfId="49"/>
    <cellStyle name="Normal 99 2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9</xdr:col>
      <xdr:colOff>561975</xdr:colOff>
      <xdr:row>27</xdr:row>
      <xdr:rowOff>132066</xdr:rowOff>
    </xdr:to>
    <xdr:pic>
      <xdr:nvPicPr>
        <xdr:cNvPr id="4" name="Imagen 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" y="8258810"/>
          <a:ext cx="7772400" cy="161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9</xdr:col>
      <xdr:colOff>561975</xdr:colOff>
      <xdr:row>32</xdr:row>
      <xdr:rowOff>160641</xdr:rowOff>
    </xdr:to>
    <xdr:pic>
      <xdr:nvPicPr>
        <xdr:cNvPr id="2" name="Imagen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" y="8211185"/>
          <a:ext cx="7772400" cy="2455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fincaraiz.com.co/apartamento-en-venta-en-cedritos-bogota/10613014" TargetMode="External"/><Relationship Id="rId3" Type="http://schemas.openxmlformats.org/officeDocument/2006/relationships/hyperlink" Target="https://www.fincaraiz.com.co/apartaestudio-en-venta-en-los-cedritos-bogota/192268247?_gl=1*877ais*_up*MQ..*_gs*MQ..&amp;gclid=Cj0KCQjwxJvBBhDuARIsAGUgNfhuZfIi3kbicELCtc9fSjlAW8mGQrprJ41xTnRIPDJ095oyLivWy3oaAtYHEALw_wcB&amp;gbraid=0AAAAADxcnHj9Tayk2TP5-z1YqVdevt9EU" TargetMode="External"/><Relationship Id="rId2" Type="http://schemas.openxmlformats.org/officeDocument/2006/relationships/hyperlink" Target="https://www.fincaraiz.com.co/apartaestudio-en-venta-en-los-cedritos-bogota/192318000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incaraiz.com.co/apartaestudio-en-arriendo-en-cedritos-bogota/192549572?_gl=1*1jzvm83*_up*MQ..*_gs*MQ..&amp;gclid=CjwKCAjw9uPCBhATEiwABHN9K3Av_Lyc_ybLGrx6M9KxBX73QKOZGw_PnyoBnyoj2UPnSJIdPbtxuBoClnUQAvD_BwE&amp;gbraid=0AAAAADxcnHgLG17pGDSvEROQTmhZQ7yzY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D34"/>
  <sheetViews>
    <sheetView zoomScale="89" zoomScaleNormal="89" workbookViewId="0">
      <selection activeCell="C4" sqref="C4:AD4"/>
    </sheetView>
  </sheetViews>
  <sheetFormatPr defaultColWidth="11.4285714285714" defaultRowHeight="12.75"/>
  <cols>
    <col min="1" max="1" width="4.57142857142857" style="5" customWidth="1"/>
    <col min="2" max="2" width="24" style="5" customWidth="1"/>
    <col min="3" max="3" width="14.7142857142857" style="5" customWidth="1"/>
    <col min="4" max="4" width="9.42857142857143" style="5" customWidth="1"/>
    <col min="5" max="5" width="11.7142857142857" style="5" customWidth="1"/>
    <col min="6" max="6" width="9.85714285714286" style="5" customWidth="1"/>
    <col min="7" max="7" width="8.42857142857143" style="5" customWidth="1"/>
    <col min="8" max="8" width="12.7142857142857" style="5" customWidth="1"/>
    <col min="9" max="9" width="17.2857142857143" style="6" customWidth="1"/>
    <col min="10" max="10" width="11.5714285714286" style="7" customWidth="1"/>
    <col min="11" max="11" width="3.71428571428571" style="8" customWidth="1"/>
    <col min="12" max="12" width="5" style="8" customWidth="1"/>
    <col min="13" max="13" width="3.71428571428571" style="8" customWidth="1"/>
    <col min="14" max="17" width="5" style="8" customWidth="1"/>
    <col min="18" max="18" width="5" style="8" hidden="1" customWidth="1"/>
    <col min="19" max="19" width="3.71428571428571" style="8" customWidth="1"/>
    <col min="20" max="20" width="4.28571428571429" style="8" customWidth="1"/>
    <col min="21" max="21" width="6.14285714285714" style="8" customWidth="1"/>
    <col min="22" max="22" width="5" style="8" customWidth="1"/>
    <col min="23" max="24" width="3.71428571428571" style="8" customWidth="1"/>
    <col min="25" max="25" width="5" style="8" customWidth="1"/>
    <col min="26" max="26" width="3.28571428571429" style="8" customWidth="1"/>
    <col min="27" max="27" width="4.71428571428571" style="8" customWidth="1"/>
    <col min="28" max="28" width="8.14285714285714" style="9" customWidth="1"/>
    <col min="29" max="29" width="19" style="9" customWidth="1"/>
    <col min="30" max="30" width="3.57142857142857" style="5" customWidth="1"/>
    <col min="31" max="31" width="3.71428571428571" style="5" customWidth="1"/>
    <col min="32" max="256" width="9.14285714285714" style="5" customWidth="1"/>
    <col min="257" max="16384" width="11.4285714285714" style="5"/>
  </cols>
  <sheetData>
    <row r="2" spans="3:30">
      <c r="C2" s="10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3:30">
      <c r="C3" s="10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3:30">
      <c r="C4" s="10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3:30">
      <c r="C5" s="10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4:30"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51"/>
      <c r="U6" s="51"/>
      <c r="V6" s="11"/>
      <c r="W6" s="11"/>
      <c r="X6" s="11"/>
      <c r="Y6" s="51"/>
      <c r="Z6" s="11"/>
      <c r="AA6" s="51"/>
      <c r="AB6" s="51"/>
      <c r="AC6" s="11"/>
      <c r="AD6" s="11"/>
    </row>
    <row r="7" s="1" customFormat="1" ht="42" customHeight="1" spans="1:30">
      <c r="A7" s="12" t="s">
        <v>4</v>
      </c>
      <c r="B7" s="12"/>
      <c r="C7" s="12" t="s">
        <v>5</v>
      </c>
      <c r="D7" s="13" t="s">
        <v>6</v>
      </c>
      <c r="E7" s="13"/>
      <c r="F7" s="13" t="s">
        <v>7</v>
      </c>
      <c r="G7" s="13" t="s">
        <v>8</v>
      </c>
      <c r="H7" s="13"/>
      <c r="I7" s="13" t="s">
        <v>9</v>
      </c>
      <c r="J7" s="13"/>
      <c r="K7" s="37" t="s">
        <v>10</v>
      </c>
      <c r="L7" s="37" t="s">
        <v>11</v>
      </c>
      <c r="M7" s="37" t="s">
        <v>12</v>
      </c>
      <c r="N7" s="38" t="s">
        <v>13</v>
      </c>
      <c r="O7" s="37" t="s">
        <v>14</v>
      </c>
      <c r="P7" s="37" t="s">
        <v>15</v>
      </c>
      <c r="Q7" s="37" t="s">
        <v>16</v>
      </c>
      <c r="R7" s="37" t="s">
        <v>17</v>
      </c>
      <c r="S7" s="52" t="s">
        <v>18</v>
      </c>
      <c r="T7" s="38" t="s">
        <v>19</v>
      </c>
      <c r="U7" s="38" t="s">
        <v>20</v>
      </c>
      <c r="V7" s="37" t="s">
        <v>21</v>
      </c>
      <c r="W7" s="37" t="s">
        <v>22</v>
      </c>
      <c r="X7" s="37" t="s">
        <v>23</v>
      </c>
      <c r="Y7" s="52" t="s">
        <v>24</v>
      </c>
      <c r="Z7" s="37" t="s">
        <v>25</v>
      </c>
      <c r="AA7" s="52" t="s">
        <v>26</v>
      </c>
      <c r="AB7" s="38" t="s">
        <v>27</v>
      </c>
      <c r="AC7" s="69" t="s">
        <v>28</v>
      </c>
      <c r="AD7" s="37" t="s">
        <v>29</v>
      </c>
    </row>
    <row r="8" s="1" customFormat="1" ht="42" customHeight="1" spans="1:30">
      <c r="A8" s="12"/>
      <c r="B8" s="12"/>
      <c r="C8" s="12"/>
      <c r="D8" s="13" t="s">
        <v>30</v>
      </c>
      <c r="E8" s="13" t="s">
        <v>31</v>
      </c>
      <c r="F8" s="13" t="s">
        <v>30</v>
      </c>
      <c r="G8" s="13" t="s">
        <v>32</v>
      </c>
      <c r="H8" s="13" t="s">
        <v>33</v>
      </c>
      <c r="I8" s="39"/>
      <c r="J8" s="13" t="s">
        <v>33</v>
      </c>
      <c r="K8" s="37"/>
      <c r="L8" s="37"/>
      <c r="M8" s="37"/>
      <c r="N8" s="40"/>
      <c r="O8" s="37"/>
      <c r="P8" s="37"/>
      <c r="Q8" s="37"/>
      <c r="R8" s="37"/>
      <c r="S8" s="53"/>
      <c r="T8" s="40"/>
      <c r="U8" s="40"/>
      <c r="V8" s="37"/>
      <c r="W8" s="37"/>
      <c r="X8" s="37"/>
      <c r="Y8" s="53"/>
      <c r="Z8" s="37"/>
      <c r="AA8" s="53"/>
      <c r="AB8" s="40"/>
      <c r="AC8" s="69"/>
      <c r="AD8" s="37"/>
    </row>
    <row r="9" s="2" customFormat="1" ht="66.75" customHeight="1" spans="1:30">
      <c r="A9" s="14" t="s">
        <v>34</v>
      </c>
      <c r="B9" s="15" t="str">
        <f>C4</f>
        <v> CARRERA 17 No. 134-79</v>
      </c>
      <c r="C9" s="16">
        <v>260000000</v>
      </c>
      <c r="D9" s="17">
        <v>37.42</v>
      </c>
      <c r="E9" s="18">
        <f>C9/D9</f>
        <v>6948156.06627472</v>
      </c>
      <c r="F9" s="19"/>
      <c r="G9" s="20">
        <f>D9+F9</f>
        <v>37.42</v>
      </c>
      <c r="H9" s="18">
        <f>C9/G9</f>
        <v>6948156.06627472</v>
      </c>
      <c r="I9" s="41">
        <v>315000</v>
      </c>
      <c r="J9" s="18">
        <f>I9/G9</f>
        <v>8417.9583110636</v>
      </c>
      <c r="K9" s="42">
        <v>1</v>
      </c>
      <c r="L9" s="43">
        <v>1</v>
      </c>
      <c r="M9" s="42">
        <v>1</v>
      </c>
      <c r="N9" s="43" t="s">
        <v>35</v>
      </c>
      <c r="O9" s="42" t="s">
        <v>35</v>
      </c>
      <c r="P9" s="42" t="s">
        <v>35</v>
      </c>
      <c r="Q9" s="42">
        <v>4</v>
      </c>
      <c r="R9" s="54"/>
      <c r="S9" s="42">
        <v>1</v>
      </c>
      <c r="T9" s="42" t="s">
        <v>35</v>
      </c>
      <c r="U9" s="55">
        <v>29</v>
      </c>
      <c r="V9" s="42" t="s">
        <v>36</v>
      </c>
      <c r="W9" s="42">
        <v>1</v>
      </c>
      <c r="X9" s="42">
        <v>4</v>
      </c>
      <c r="Y9" s="42">
        <v>4</v>
      </c>
      <c r="Z9" s="42">
        <v>5</v>
      </c>
      <c r="AA9" s="42">
        <v>4</v>
      </c>
      <c r="AB9" s="42"/>
      <c r="AC9" s="25"/>
      <c r="AD9" s="70"/>
    </row>
    <row r="10" s="3" customFormat="1" ht="32.3" spans="1:30">
      <c r="A10" s="21" t="s">
        <v>37</v>
      </c>
      <c r="B10" s="22" t="s">
        <v>38</v>
      </c>
      <c r="C10" s="23">
        <v>250000000</v>
      </c>
      <c r="D10" s="17">
        <v>38</v>
      </c>
      <c r="E10" s="18">
        <f>C10/D10</f>
        <v>6578947.36842105</v>
      </c>
      <c r="F10" s="13"/>
      <c r="G10" s="20">
        <f>D10+F10</f>
        <v>38</v>
      </c>
      <c r="H10" s="18">
        <f>C10/G10</f>
        <v>6578947.36842105</v>
      </c>
      <c r="I10" s="41">
        <v>50000</v>
      </c>
      <c r="J10" s="18">
        <f>I10/G10</f>
        <v>1315.78947368421</v>
      </c>
      <c r="K10" s="44">
        <v>1</v>
      </c>
      <c r="L10" s="43">
        <v>1</v>
      </c>
      <c r="M10" s="44">
        <v>1</v>
      </c>
      <c r="N10" s="43" t="s">
        <v>35</v>
      </c>
      <c r="O10" s="44" t="s">
        <v>35</v>
      </c>
      <c r="P10" s="44" t="s">
        <v>35</v>
      </c>
      <c r="Q10" s="44">
        <v>5</v>
      </c>
      <c r="R10" s="56"/>
      <c r="S10" s="44">
        <v>1</v>
      </c>
      <c r="T10" s="42" t="s">
        <v>39</v>
      </c>
      <c r="U10" s="58" t="s">
        <v>40</v>
      </c>
      <c r="V10" s="42" t="s">
        <v>41</v>
      </c>
      <c r="W10" s="44">
        <v>1</v>
      </c>
      <c r="X10" s="44">
        <v>4</v>
      </c>
      <c r="Y10" s="44">
        <v>4</v>
      </c>
      <c r="Z10" s="44">
        <v>5</v>
      </c>
      <c r="AA10" s="42">
        <v>4</v>
      </c>
      <c r="AB10" s="42"/>
      <c r="AC10" s="71" t="s">
        <v>42</v>
      </c>
      <c r="AD10" s="70" t="s">
        <v>43</v>
      </c>
    </row>
    <row r="11" s="3" customFormat="1" ht="27" customHeight="1" spans="1:30">
      <c r="A11" s="24"/>
      <c r="B11" s="25" t="s">
        <v>44</v>
      </c>
      <c r="C11" s="23">
        <v>245000000</v>
      </c>
      <c r="D11" s="17">
        <v>46</v>
      </c>
      <c r="E11" s="18">
        <f>C11/D11</f>
        <v>5326086.95652174</v>
      </c>
      <c r="F11" s="16"/>
      <c r="G11" s="20">
        <f>D11+F11</f>
        <v>46</v>
      </c>
      <c r="H11" s="26">
        <f>C11/G11</f>
        <v>5326086.95652174</v>
      </c>
      <c r="I11" s="41">
        <v>198700</v>
      </c>
      <c r="J11" s="18">
        <f>I11/G11</f>
        <v>4319.5652173913</v>
      </c>
      <c r="K11" s="44">
        <v>1</v>
      </c>
      <c r="L11" s="43">
        <v>1</v>
      </c>
      <c r="M11" s="44">
        <v>1</v>
      </c>
      <c r="N11" s="43" t="s">
        <v>35</v>
      </c>
      <c r="O11" s="44" t="s">
        <v>35</v>
      </c>
      <c r="P11" s="44" t="s">
        <v>35</v>
      </c>
      <c r="Q11" s="44">
        <v>4</v>
      </c>
      <c r="R11" s="56"/>
      <c r="S11" s="44">
        <v>1</v>
      </c>
      <c r="T11" s="42" t="s">
        <v>35</v>
      </c>
      <c r="U11" s="58" t="s">
        <v>45</v>
      </c>
      <c r="V11" s="42" t="s">
        <v>41</v>
      </c>
      <c r="W11" s="44">
        <v>1</v>
      </c>
      <c r="X11" s="44">
        <v>4</v>
      </c>
      <c r="Y11" s="44">
        <v>4</v>
      </c>
      <c r="Z11" s="44">
        <v>5</v>
      </c>
      <c r="AA11" s="42">
        <v>4</v>
      </c>
      <c r="AB11" s="42"/>
      <c r="AC11" s="71">
        <v>8067674</v>
      </c>
      <c r="AD11" s="70" t="s">
        <v>46</v>
      </c>
    </row>
    <row r="12" s="3" customFormat="1" ht="27" customHeight="1" spans="1:30">
      <c r="A12" s="24"/>
      <c r="B12" s="25" t="s">
        <v>47</v>
      </c>
      <c r="C12" s="23">
        <v>264000000</v>
      </c>
      <c r="D12" s="17">
        <v>33</v>
      </c>
      <c r="E12" s="18">
        <f t="shared" ref="E12:E17" si="0">C12/D12</f>
        <v>8000000</v>
      </c>
      <c r="F12" s="16"/>
      <c r="G12" s="20">
        <f t="shared" ref="G12:G19" si="1">D12+F12</f>
        <v>33</v>
      </c>
      <c r="H12" s="26">
        <f t="shared" ref="H12:H19" si="2">C12/G12</f>
        <v>8000000</v>
      </c>
      <c r="I12" s="41">
        <v>307800</v>
      </c>
      <c r="J12" s="18">
        <f t="shared" ref="J12:J19" si="3">I12/G12</f>
        <v>9327.27272727273</v>
      </c>
      <c r="K12" s="44">
        <v>1</v>
      </c>
      <c r="L12" s="43">
        <v>1</v>
      </c>
      <c r="M12" s="44">
        <v>1</v>
      </c>
      <c r="N12" s="43" t="s">
        <v>35</v>
      </c>
      <c r="O12" s="44" t="s">
        <v>35</v>
      </c>
      <c r="P12" s="44" t="s">
        <v>35</v>
      </c>
      <c r="Q12" s="44">
        <v>2</v>
      </c>
      <c r="R12" s="56"/>
      <c r="S12" s="44">
        <v>1</v>
      </c>
      <c r="T12" s="42" t="s">
        <v>35</v>
      </c>
      <c r="U12" s="58" t="s">
        <v>48</v>
      </c>
      <c r="V12" s="42" t="s">
        <v>36</v>
      </c>
      <c r="W12" s="44">
        <v>1</v>
      </c>
      <c r="X12" s="44">
        <v>4</v>
      </c>
      <c r="Y12" s="44">
        <v>4</v>
      </c>
      <c r="Z12" s="44">
        <v>5</v>
      </c>
      <c r="AA12" s="42">
        <v>4</v>
      </c>
      <c r="AB12" s="42"/>
      <c r="AC12" s="71">
        <v>7869769</v>
      </c>
      <c r="AD12" s="70" t="s">
        <v>46</v>
      </c>
    </row>
    <row r="13" s="3" customFormat="1" ht="27" customHeight="1" spans="1:30">
      <c r="A13" s="24"/>
      <c r="B13" s="25" t="s">
        <v>49</v>
      </c>
      <c r="C13" s="23">
        <v>275000000</v>
      </c>
      <c r="D13" s="17">
        <v>30</v>
      </c>
      <c r="E13" s="18">
        <f t="shared" si="0"/>
        <v>9166666.66666667</v>
      </c>
      <c r="F13" s="16"/>
      <c r="G13" s="20">
        <f t="shared" si="1"/>
        <v>30</v>
      </c>
      <c r="H13" s="26">
        <f t="shared" si="2"/>
        <v>9166666.66666667</v>
      </c>
      <c r="I13" s="41">
        <v>270000</v>
      </c>
      <c r="J13" s="18">
        <f t="shared" si="3"/>
        <v>9000</v>
      </c>
      <c r="K13" s="44">
        <v>1</v>
      </c>
      <c r="L13" s="43">
        <v>1</v>
      </c>
      <c r="M13" s="44">
        <v>1</v>
      </c>
      <c r="N13" s="43" t="s">
        <v>35</v>
      </c>
      <c r="O13" s="44" t="s">
        <v>35</v>
      </c>
      <c r="P13" s="44" t="s">
        <v>35</v>
      </c>
      <c r="Q13" s="44">
        <v>3</v>
      </c>
      <c r="R13" s="56"/>
      <c r="S13" s="44">
        <v>1</v>
      </c>
      <c r="T13" s="42" t="s">
        <v>35</v>
      </c>
      <c r="U13" s="58" t="s">
        <v>48</v>
      </c>
      <c r="V13" s="42" t="s">
        <v>41</v>
      </c>
      <c r="W13" s="44">
        <v>1</v>
      </c>
      <c r="X13" s="44">
        <v>4</v>
      </c>
      <c r="Y13" s="44">
        <v>4</v>
      </c>
      <c r="Z13" s="44">
        <v>5</v>
      </c>
      <c r="AA13" s="42">
        <v>4</v>
      </c>
      <c r="AB13" s="42"/>
      <c r="AC13" s="71">
        <v>7930256</v>
      </c>
      <c r="AD13" s="70" t="s">
        <v>46</v>
      </c>
    </row>
    <row r="14" s="3" customFormat="1" ht="27" customHeight="1" spans="1:30">
      <c r="A14" s="24"/>
      <c r="B14" s="27" t="s">
        <v>50</v>
      </c>
      <c r="C14" s="23">
        <v>262766660</v>
      </c>
      <c r="D14" s="17">
        <v>40</v>
      </c>
      <c r="E14" s="18">
        <f t="shared" si="0"/>
        <v>6569166.5</v>
      </c>
      <c r="F14" s="16"/>
      <c r="G14" s="20">
        <f t="shared" si="1"/>
        <v>40</v>
      </c>
      <c r="H14" s="26">
        <f t="shared" si="2"/>
        <v>6569166.5</v>
      </c>
      <c r="I14" s="41">
        <v>339000</v>
      </c>
      <c r="J14" s="18">
        <f t="shared" si="3"/>
        <v>8475</v>
      </c>
      <c r="K14" s="44">
        <v>1</v>
      </c>
      <c r="L14" s="43">
        <v>1</v>
      </c>
      <c r="M14" s="44">
        <v>1</v>
      </c>
      <c r="N14" s="43" t="s">
        <v>35</v>
      </c>
      <c r="O14" s="44" t="s">
        <v>35</v>
      </c>
      <c r="P14" s="44" t="s">
        <v>35</v>
      </c>
      <c r="Q14" s="44">
        <v>3</v>
      </c>
      <c r="R14" s="56"/>
      <c r="S14" s="44">
        <v>1</v>
      </c>
      <c r="T14" s="42" t="s">
        <v>39</v>
      </c>
      <c r="U14" s="58" t="s">
        <v>51</v>
      </c>
      <c r="V14" s="42" t="s">
        <v>36</v>
      </c>
      <c r="W14" s="44">
        <v>1</v>
      </c>
      <c r="X14" s="44">
        <v>4</v>
      </c>
      <c r="Y14" s="44">
        <v>4</v>
      </c>
      <c r="Z14" s="44">
        <v>5</v>
      </c>
      <c r="AA14" s="42">
        <v>4</v>
      </c>
      <c r="AB14" s="42"/>
      <c r="AC14" s="71">
        <v>191119941</v>
      </c>
      <c r="AD14" s="70" t="s">
        <v>46</v>
      </c>
    </row>
    <row r="15" s="3" customFormat="1" ht="27" customHeight="1" spans="1:30">
      <c r="A15" s="24"/>
      <c r="B15" s="28" t="s">
        <v>52</v>
      </c>
      <c r="C15" s="23">
        <v>260000000</v>
      </c>
      <c r="D15" s="17">
        <v>36</v>
      </c>
      <c r="E15" s="18">
        <f t="shared" si="0"/>
        <v>7222222.22222222</v>
      </c>
      <c r="F15" s="16"/>
      <c r="G15" s="20">
        <f t="shared" si="1"/>
        <v>36</v>
      </c>
      <c r="H15" s="26">
        <f t="shared" si="2"/>
        <v>7222222.22222222</v>
      </c>
      <c r="I15" s="41">
        <v>269999</v>
      </c>
      <c r="J15" s="18">
        <f t="shared" si="3"/>
        <v>7499.97222222222</v>
      </c>
      <c r="K15" s="44">
        <v>1</v>
      </c>
      <c r="L15" s="43">
        <v>1</v>
      </c>
      <c r="M15" s="44">
        <v>1</v>
      </c>
      <c r="N15" s="43" t="s">
        <v>35</v>
      </c>
      <c r="O15" s="44" t="s">
        <v>39</v>
      </c>
      <c r="P15" s="44" t="s">
        <v>35</v>
      </c>
      <c r="Q15" s="44">
        <v>4</v>
      </c>
      <c r="R15" s="56"/>
      <c r="S15" s="44">
        <v>1</v>
      </c>
      <c r="T15" s="42" t="s">
        <v>39</v>
      </c>
      <c r="U15" s="58" t="s">
        <v>53</v>
      </c>
      <c r="V15" s="42" t="s">
        <v>41</v>
      </c>
      <c r="W15" s="44">
        <v>1</v>
      </c>
      <c r="X15" s="44">
        <v>4</v>
      </c>
      <c r="Y15" s="44">
        <v>4</v>
      </c>
      <c r="Z15" s="44">
        <v>5</v>
      </c>
      <c r="AA15" s="42">
        <v>4</v>
      </c>
      <c r="AB15" s="42"/>
      <c r="AC15" s="74">
        <v>192204699</v>
      </c>
      <c r="AD15" s="70" t="s">
        <v>46</v>
      </c>
    </row>
    <row r="16" s="3" customFormat="1" ht="27" customHeight="1" spans="1:30">
      <c r="A16" s="24"/>
      <c r="B16" s="28" t="s">
        <v>54</v>
      </c>
      <c r="C16" s="23">
        <v>275000000</v>
      </c>
      <c r="D16" s="17">
        <v>48</v>
      </c>
      <c r="E16" s="18">
        <f t="shared" si="0"/>
        <v>5729166.66666667</v>
      </c>
      <c r="F16" s="16"/>
      <c r="G16" s="20">
        <f t="shared" si="1"/>
        <v>48</v>
      </c>
      <c r="H16" s="26">
        <f t="shared" si="2"/>
        <v>5729166.66666667</v>
      </c>
      <c r="I16" s="41">
        <v>450000</v>
      </c>
      <c r="J16" s="18">
        <f t="shared" si="3"/>
        <v>9375</v>
      </c>
      <c r="K16" s="44">
        <v>1</v>
      </c>
      <c r="L16" s="43">
        <v>2</v>
      </c>
      <c r="M16" s="44">
        <v>1</v>
      </c>
      <c r="N16" s="43" t="s">
        <v>35</v>
      </c>
      <c r="O16" s="44" t="s">
        <v>35</v>
      </c>
      <c r="P16" s="44" t="s">
        <v>39</v>
      </c>
      <c r="Q16" s="44">
        <v>2</v>
      </c>
      <c r="R16" s="56"/>
      <c r="S16" s="44">
        <v>1</v>
      </c>
      <c r="T16" s="42" t="s">
        <v>39</v>
      </c>
      <c r="U16" s="58" t="s">
        <v>53</v>
      </c>
      <c r="V16" s="42" t="s">
        <v>41</v>
      </c>
      <c r="W16" s="44">
        <v>1</v>
      </c>
      <c r="X16" s="44">
        <v>4</v>
      </c>
      <c r="Y16" s="44">
        <v>4</v>
      </c>
      <c r="Z16" s="44">
        <v>5</v>
      </c>
      <c r="AA16" s="42">
        <v>5</v>
      </c>
      <c r="AB16" s="42"/>
      <c r="AC16" s="71">
        <v>0</v>
      </c>
      <c r="AD16" s="70" t="s">
        <v>46</v>
      </c>
    </row>
    <row r="17" s="3" customFormat="1" ht="27" customHeight="1" spans="1:30">
      <c r="A17" s="24"/>
      <c r="B17" s="28" t="s">
        <v>55</v>
      </c>
      <c r="C17" s="23">
        <v>260000000</v>
      </c>
      <c r="D17" s="17">
        <v>67</v>
      </c>
      <c r="E17" s="18">
        <f t="shared" si="0"/>
        <v>3880597.01492537</v>
      </c>
      <c r="F17" s="16"/>
      <c r="G17" s="20">
        <f t="shared" si="1"/>
        <v>67</v>
      </c>
      <c r="H17" s="26">
        <f t="shared" si="2"/>
        <v>3880597.01492537</v>
      </c>
      <c r="I17" s="41">
        <v>387800</v>
      </c>
      <c r="J17" s="18">
        <f t="shared" si="3"/>
        <v>5788.05970149254</v>
      </c>
      <c r="K17" s="44">
        <v>2</v>
      </c>
      <c r="L17" s="43">
        <v>2</v>
      </c>
      <c r="M17" s="44">
        <v>1</v>
      </c>
      <c r="N17" s="43" t="s">
        <v>35</v>
      </c>
      <c r="O17" s="44" t="s">
        <v>35</v>
      </c>
      <c r="P17" s="44" t="s">
        <v>35</v>
      </c>
      <c r="Q17" s="44">
        <v>2</v>
      </c>
      <c r="R17" s="56"/>
      <c r="S17" s="44">
        <v>1</v>
      </c>
      <c r="T17" s="42" t="s">
        <v>39</v>
      </c>
      <c r="U17" s="58" t="s">
        <v>53</v>
      </c>
      <c r="V17" s="42" t="s">
        <v>36</v>
      </c>
      <c r="W17" s="44">
        <v>1</v>
      </c>
      <c r="X17" s="44">
        <v>4</v>
      </c>
      <c r="Y17" s="44">
        <v>4</v>
      </c>
      <c r="Z17" s="44">
        <v>5</v>
      </c>
      <c r="AA17" s="42">
        <v>6</v>
      </c>
      <c r="AB17" s="42"/>
      <c r="AC17" s="71">
        <v>0</v>
      </c>
      <c r="AD17" s="70" t="s">
        <v>46</v>
      </c>
    </row>
    <row r="18" s="3" customFormat="1" ht="27" customHeight="1" spans="1:30">
      <c r="A18" s="24"/>
      <c r="B18" s="25"/>
      <c r="C18" s="23"/>
      <c r="D18" s="17"/>
      <c r="E18" s="18">
        <v>0</v>
      </c>
      <c r="F18" s="16"/>
      <c r="G18" s="20">
        <f t="shared" si="1"/>
        <v>0</v>
      </c>
      <c r="H18" s="26" t="e">
        <f t="shared" si="2"/>
        <v>#DIV/0!</v>
      </c>
      <c r="I18" s="41">
        <v>400000</v>
      </c>
      <c r="J18" s="18" t="e">
        <f t="shared" si="3"/>
        <v>#DIV/0!</v>
      </c>
      <c r="K18" s="44">
        <v>1</v>
      </c>
      <c r="L18" s="43">
        <v>1.5</v>
      </c>
      <c r="M18" s="44">
        <v>1</v>
      </c>
      <c r="N18" s="43" t="s">
        <v>35</v>
      </c>
      <c r="O18" s="44" t="s">
        <v>35</v>
      </c>
      <c r="P18" s="44" t="s">
        <v>39</v>
      </c>
      <c r="Q18" s="44">
        <v>5</v>
      </c>
      <c r="R18" s="56"/>
      <c r="S18" s="44">
        <v>1</v>
      </c>
      <c r="T18" s="42" t="s">
        <v>39</v>
      </c>
      <c r="U18" s="58" t="s">
        <v>53</v>
      </c>
      <c r="V18" s="42" t="s">
        <v>36</v>
      </c>
      <c r="W18" s="44">
        <v>1</v>
      </c>
      <c r="X18" s="44">
        <v>4</v>
      </c>
      <c r="Y18" s="44">
        <v>4</v>
      </c>
      <c r="Z18" s="44">
        <v>5</v>
      </c>
      <c r="AA18" s="42">
        <v>6</v>
      </c>
      <c r="AB18" s="42"/>
      <c r="AC18" s="75">
        <v>0</v>
      </c>
      <c r="AD18" s="70" t="s">
        <v>46</v>
      </c>
    </row>
    <row r="19" s="3" customFormat="1" ht="27" customHeight="1" spans="1:30">
      <c r="A19" s="24"/>
      <c r="B19" s="25"/>
      <c r="C19" s="23"/>
      <c r="D19" s="17"/>
      <c r="E19" s="18">
        <v>0</v>
      </c>
      <c r="F19" s="16"/>
      <c r="G19" s="20">
        <f t="shared" si="1"/>
        <v>0</v>
      </c>
      <c r="H19" s="26" t="e">
        <f t="shared" si="2"/>
        <v>#DIV/0!</v>
      </c>
      <c r="I19" s="41">
        <v>526000</v>
      </c>
      <c r="J19" s="18" t="e">
        <f t="shared" si="3"/>
        <v>#DIV/0!</v>
      </c>
      <c r="K19" s="44">
        <v>1</v>
      </c>
      <c r="L19" s="43">
        <v>1.5</v>
      </c>
      <c r="M19" s="44">
        <v>1</v>
      </c>
      <c r="N19" s="43" t="s">
        <v>39</v>
      </c>
      <c r="O19" s="44" t="s">
        <v>35</v>
      </c>
      <c r="P19" s="44" t="s">
        <v>35</v>
      </c>
      <c r="Q19" s="44">
        <v>5</v>
      </c>
      <c r="R19" s="56"/>
      <c r="S19" s="44">
        <v>1</v>
      </c>
      <c r="T19" s="42" t="s">
        <v>39</v>
      </c>
      <c r="U19" s="58" t="s">
        <v>53</v>
      </c>
      <c r="V19" s="42" t="s">
        <v>36</v>
      </c>
      <c r="W19" s="44">
        <v>1</v>
      </c>
      <c r="X19" s="44">
        <v>4</v>
      </c>
      <c r="Y19" s="44">
        <v>4</v>
      </c>
      <c r="Z19" s="44">
        <v>5</v>
      </c>
      <c r="AA19" s="42">
        <v>6</v>
      </c>
      <c r="AB19" s="42"/>
      <c r="AC19" s="75">
        <v>0</v>
      </c>
      <c r="AD19" s="70" t="s">
        <v>46</v>
      </c>
    </row>
    <row r="20" s="3" customFormat="1" ht="35.25" customHeight="1" spans="1:30">
      <c r="A20" s="29"/>
      <c r="B20" s="25"/>
      <c r="C20" s="23"/>
      <c r="D20" s="17"/>
      <c r="E20" s="18"/>
      <c r="F20" s="23"/>
      <c r="G20" s="20"/>
      <c r="H20" s="26"/>
      <c r="I20" s="45"/>
      <c r="J20" s="18"/>
      <c r="K20" s="46"/>
      <c r="L20" s="46"/>
      <c r="M20" s="46"/>
      <c r="N20" s="46"/>
      <c r="O20" s="46"/>
      <c r="P20" s="46"/>
      <c r="Q20" s="46"/>
      <c r="R20" s="60"/>
      <c r="S20" s="46"/>
      <c r="T20" s="61"/>
      <c r="U20" s="55"/>
      <c r="V20" s="42"/>
      <c r="W20" s="44"/>
      <c r="X20" s="44"/>
      <c r="Y20" s="44"/>
      <c r="Z20" s="44"/>
      <c r="AA20" s="42"/>
      <c r="AB20" s="13"/>
      <c r="AC20" s="76"/>
      <c r="AD20" s="70"/>
    </row>
    <row r="21" s="4" customFormat="1" ht="35.25" customHeight="1" spans="1:30">
      <c r="A21" s="29"/>
      <c r="B21" s="30"/>
      <c r="C21" s="31" t="s">
        <v>56</v>
      </c>
      <c r="D21" s="31"/>
      <c r="E21" s="31"/>
      <c r="F21" s="31"/>
      <c r="G21" s="31"/>
      <c r="H21" s="32">
        <f>SUM(H5:H14)/7</f>
        <v>6084146.22255488</v>
      </c>
      <c r="I21" s="47">
        <f>1-H21/H9</f>
        <v>0.124350955199986</v>
      </c>
      <c r="J21" s="48"/>
      <c r="K21" s="49"/>
      <c r="L21" s="49"/>
      <c r="M21" s="49"/>
      <c r="N21" s="49"/>
      <c r="O21" s="49"/>
      <c r="P21" s="49"/>
      <c r="Q21" s="49"/>
      <c r="R21" s="62"/>
      <c r="S21" s="63"/>
      <c r="T21" s="64"/>
      <c r="U21" s="65"/>
      <c r="V21" s="64"/>
      <c r="W21" s="63"/>
      <c r="X21" s="63"/>
      <c r="Y21" s="63"/>
      <c r="Z21" s="63"/>
      <c r="AA21" s="63"/>
      <c r="AB21" s="77"/>
      <c r="AC21" s="78"/>
      <c r="AD21" s="79"/>
    </row>
    <row r="22" ht="41.25" customHeight="1" spans="1:30">
      <c r="A22" s="33" t="s">
        <v>57</v>
      </c>
      <c r="B22" s="33"/>
      <c r="C22" s="33"/>
      <c r="D22" s="34" t="str">
        <f>C3</f>
        <v>Fecha:JULIO 21  - 2025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66"/>
      <c r="R22" s="67" t="s">
        <v>58</v>
      </c>
      <c r="S22" s="68"/>
      <c r="T22" s="68"/>
      <c r="U22" s="68"/>
      <c r="V22" s="68"/>
      <c r="W22" s="68"/>
      <c r="X22" s="68"/>
      <c r="Y22" s="68"/>
      <c r="Z22" s="80"/>
      <c r="AA22" s="81"/>
      <c r="AB22" s="82"/>
      <c r="AC22" s="83">
        <f>SUM(C10:C14)/SUM(G10:G17)*G9</f>
        <v>143565113.660355</v>
      </c>
      <c r="AD22" s="84"/>
    </row>
    <row r="23" ht="36" customHeight="1" spans="1:28">
      <c r="A23" s="35"/>
      <c r="B23" s="35"/>
      <c r="C23" s="35"/>
      <c r="D23" s="35"/>
      <c r="E23" s="3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AA23" s="5"/>
      <c r="AB23" s="5"/>
    </row>
    <row r="24" ht="36" customHeight="1" spans="1:28">
      <c r="A24" s="35"/>
      <c r="B24" s="35"/>
      <c r="C24" s="35"/>
      <c r="D24" s="35"/>
      <c r="E24" s="3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AA24" s="5"/>
      <c r="AB24" s="5"/>
    </row>
    <row r="25" ht="36" customHeight="1" spans="1:28">
      <c r="A25" s="35"/>
      <c r="B25" s="35"/>
      <c r="C25" s="35"/>
      <c r="D25" s="35"/>
      <c r="E25" s="3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AA25" s="5"/>
      <c r="AB25" s="5"/>
    </row>
    <row r="26" ht="30" customHeight="1" spans="3:29">
      <c r="C26" s="8"/>
      <c r="D26" s="8"/>
      <c r="E26" s="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AA26" s="5"/>
      <c r="AB26" s="5"/>
      <c r="AC26" s="35"/>
    </row>
    <row r="27" ht="15" customHeight="1" spans="4:25">
      <c r="D27" s="8"/>
      <c r="E27" s="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4:25">
      <c r="D28" s="8"/>
      <c r="E28" s="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30" spans="3:3">
      <c r="C30" s="36"/>
    </row>
    <row r="31" spans="3:3">
      <c r="C31" s="36"/>
    </row>
    <row r="32" spans="3:3">
      <c r="C32" s="36"/>
    </row>
    <row r="33" spans="3:3">
      <c r="C33" s="36"/>
    </row>
    <row r="34" ht="27.75" customHeight="1" spans="9:9">
      <c r="I34" s="50"/>
    </row>
  </sheetData>
  <sortState ref="B10:AJ21">
    <sortCondition ref="U10:U21"/>
    <sortCondition ref="C10:C21"/>
  </sortState>
  <mergeCells count="32">
    <mergeCell ref="C2:AD2"/>
    <mergeCell ref="C3:AD3"/>
    <mergeCell ref="C4:AD4"/>
    <mergeCell ref="C5:AD5"/>
    <mergeCell ref="D7:E7"/>
    <mergeCell ref="G7:H7"/>
    <mergeCell ref="I7:J7"/>
    <mergeCell ref="A22:C22"/>
    <mergeCell ref="D22:Q22"/>
    <mergeCell ref="A10:A19"/>
    <mergeCell ref="C7:C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7:B8"/>
  </mergeCells>
  <hyperlinks>
    <hyperlink ref="B11" r:id="rId2" display="https://www.fincaraiz.com.co/apartaestudio-en-venta-en-los-cedritos-bogota/192318000"/>
    <hyperlink ref="B10" r:id="rId3" display="https://www.fincaraiz.com.co/apartaestudio-en-venta-en-los-cedritos-bogota/192268247?_gl=1*877ais*_up*MQ..*_gs*MQ..&amp;gclid=Cj0KCQjwxJvBBhDuARIsAGUgNfhuZfIi3kbicELCtc9fSjlAW8mGQrprJ41xTnRIPDJ095oyLivWy3oaAtYHEALw_wcB&amp;gbraid=0AAAAADxcnHj9Tayk2TP5-z1YqVdevt9EU"/>
    <hyperlink ref="B13" r:id="rId4" display="https://www.fincaraiz.com.co/apartamento-en-venta-en-cedritos-bogota/10613014"/>
  </hyperlinks>
  <printOptions horizontalCentered="1"/>
  <pageMargins left="0.196850393700787" right="0.196850393700787" top="0.196850393700787" bottom="0.196850393700787" header="0" footer="0"/>
  <pageSetup paperSize="1" scale="78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D34"/>
  <sheetViews>
    <sheetView tabSelected="1" topLeftCell="C1" workbookViewId="0">
      <selection activeCell="C5" sqref="C5:AD5"/>
    </sheetView>
  </sheetViews>
  <sheetFormatPr defaultColWidth="11.4285714285714" defaultRowHeight="12.75"/>
  <cols>
    <col min="1" max="1" width="4.57142857142857" style="5" customWidth="1"/>
    <col min="2" max="2" width="24" style="5" customWidth="1"/>
    <col min="3" max="3" width="14.7142857142857" style="5" customWidth="1"/>
    <col min="4" max="4" width="9.42857142857143" style="5" customWidth="1"/>
    <col min="5" max="5" width="11.7142857142857" style="5" customWidth="1"/>
    <col min="6" max="6" width="9.85714285714286" style="5" customWidth="1"/>
    <col min="7" max="7" width="8.42857142857143" style="5" customWidth="1"/>
    <col min="8" max="8" width="12.7142857142857" style="5" customWidth="1"/>
    <col min="9" max="9" width="17.2857142857143" style="6" customWidth="1"/>
    <col min="10" max="10" width="11.5714285714286" style="7" customWidth="1"/>
    <col min="11" max="11" width="3.71428571428571" style="8" customWidth="1"/>
    <col min="12" max="12" width="5" style="8" customWidth="1"/>
    <col min="13" max="13" width="3.71428571428571" style="8" customWidth="1"/>
    <col min="14" max="17" width="5" style="8" customWidth="1"/>
    <col min="18" max="18" width="5" style="8" hidden="1" customWidth="1"/>
    <col min="19" max="19" width="3.71428571428571" style="8" customWidth="1"/>
    <col min="20" max="20" width="4.28571428571429" style="8" customWidth="1"/>
    <col min="21" max="21" width="6.14285714285714" style="8" customWidth="1"/>
    <col min="22" max="22" width="5" style="8" customWidth="1"/>
    <col min="23" max="24" width="3.71428571428571" style="8" customWidth="1"/>
    <col min="25" max="25" width="5" style="8" customWidth="1"/>
    <col min="26" max="26" width="3.28571428571429" style="8" customWidth="1"/>
    <col min="27" max="27" width="4.71428571428571" style="8" customWidth="1"/>
    <col min="28" max="28" width="8.14285714285714" style="9" customWidth="1"/>
    <col min="29" max="29" width="19" style="9" customWidth="1"/>
    <col min="30" max="30" width="3.57142857142857" style="5" customWidth="1"/>
    <col min="31" max="31" width="3.71428571428571" style="5" customWidth="1"/>
    <col min="32" max="256" width="9.14285714285714" style="5" customWidth="1"/>
    <col min="257" max="16384" width="11.4285714285714" style="5"/>
  </cols>
  <sheetData>
    <row r="2" spans="3:30">
      <c r="C2" s="10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3:30">
      <c r="C3" s="10" t="s">
        <v>59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3:30">
      <c r="C4" s="10" t="s">
        <v>60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3:30">
      <c r="C5" s="10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4:30"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51"/>
      <c r="U6" s="51"/>
      <c r="V6" s="11"/>
      <c r="W6" s="11"/>
      <c r="X6" s="11"/>
      <c r="Y6" s="51"/>
      <c r="Z6" s="11"/>
      <c r="AA6" s="51"/>
      <c r="AB6" s="51"/>
      <c r="AC6" s="11"/>
      <c r="AD6" s="11"/>
    </row>
    <row r="7" s="1" customFormat="1" ht="42" customHeight="1" spans="1:30">
      <c r="A7" s="12" t="s">
        <v>4</v>
      </c>
      <c r="B7" s="12"/>
      <c r="C7" s="12" t="s">
        <v>61</v>
      </c>
      <c r="D7" s="13" t="s">
        <v>6</v>
      </c>
      <c r="E7" s="13"/>
      <c r="F7" s="13" t="s">
        <v>7</v>
      </c>
      <c r="G7" s="13" t="s">
        <v>8</v>
      </c>
      <c r="H7" s="13"/>
      <c r="I7" s="13" t="s">
        <v>9</v>
      </c>
      <c r="J7" s="13"/>
      <c r="K7" s="37" t="s">
        <v>10</v>
      </c>
      <c r="L7" s="37" t="s">
        <v>11</v>
      </c>
      <c r="M7" s="37" t="s">
        <v>12</v>
      </c>
      <c r="N7" s="38" t="s">
        <v>13</v>
      </c>
      <c r="O7" s="37" t="s">
        <v>14</v>
      </c>
      <c r="P7" s="37" t="s">
        <v>15</v>
      </c>
      <c r="Q7" s="37" t="s">
        <v>16</v>
      </c>
      <c r="R7" s="37" t="s">
        <v>17</v>
      </c>
      <c r="S7" s="52" t="s">
        <v>18</v>
      </c>
      <c r="T7" s="38" t="s">
        <v>19</v>
      </c>
      <c r="U7" s="38" t="s">
        <v>20</v>
      </c>
      <c r="V7" s="37" t="s">
        <v>21</v>
      </c>
      <c r="W7" s="37" t="s">
        <v>22</v>
      </c>
      <c r="X7" s="37" t="s">
        <v>23</v>
      </c>
      <c r="Y7" s="52" t="s">
        <v>24</v>
      </c>
      <c r="Z7" s="37" t="s">
        <v>25</v>
      </c>
      <c r="AA7" s="52" t="s">
        <v>26</v>
      </c>
      <c r="AB7" s="38" t="s">
        <v>27</v>
      </c>
      <c r="AC7" s="69" t="s">
        <v>28</v>
      </c>
      <c r="AD7" s="37" t="s">
        <v>29</v>
      </c>
    </row>
    <row r="8" s="1" customFormat="1" ht="42" customHeight="1" spans="1:30">
      <c r="A8" s="12"/>
      <c r="B8" s="12"/>
      <c r="C8" s="12"/>
      <c r="D8" s="13" t="s">
        <v>30</v>
      </c>
      <c r="E8" s="13" t="s">
        <v>31</v>
      </c>
      <c r="F8" s="13" t="s">
        <v>30</v>
      </c>
      <c r="G8" s="13" t="s">
        <v>32</v>
      </c>
      <c r="H8" s="13" t="s">
        <v>33</v>
      </c>
      <c r="I8" s="39"/>
      <c r="J8" s="13" t="s">
        <v>33</v>
      </c>
      <c r="K8" s="37"/>
      <c r="L8" s="37"/>
      <c r="M8" s="37"/>
      <c r="N8" s="40"/>
      <c r="O8" s="37"/>
      <c r="P8" s="37"/>
      <c r="Q8" s="37"/>
      <c r="R8" s="37"/>
      <c r="S8" s="53"/>
      <c r="T8" s="40"/>
      <c r="U8" s="40"/>
      <c r="V8" s="37"/>
      <c r="W8" s="37"/>
      <c r="X8" s="37"/>
      <c r="Y8" s="53"/>
      <c r="Z8" s="37"/>
      <c r="AA8" s="53"/>
      <c r="AB8" s="40"/>
      <c r="AC8" s="69"/>
      <c r="AD8" s="37"/>
    </row>
    <row r="9" s="2" customFormat="1" ht="66.75" customHeight="1" spans="1:30">
      <c r="A9" s="14" t="s">
        <v>34</v>
      </c>
      <c r="B9" s="15" t="str">
        <f>C4</f>
        <v> CALLE 145 #23-06 Edf Genesis Cedritos </v>
      </c>
      <c r="C9" s="16">
        <v>1850000</v>
      </c>
      <c r="D9" s="17">
        <v>37.42</v>
      </c>
      <c r="E9" s="18">
        <f t="shared" ref="E9:E17" si="0">C9/D9</f>
        <v>49438.8027792624</v>
      </c>
      <c r="F9" s="19"/>
      <c r="G9" s="20">
        <f t="shared" ref="G9:G19" si="1">D9+F9</f>
        <v>37.42</v>
      </c>
      <c r="H9" s="18">
        <f t="shared" ref="H9:H19" si="2">C9/G9</f>
        <v>49438.8027792624</v>
      </c>
      <c r="I9" s="41">
        <v>315000</v>
      </c>
      <c r="J9" s="18">
        <f t="shared" ref="J9:J19" si="3">I9/G9</f>
        <v>8417.9583110636</v>
      </c>
      <c r="K9" s="42">
        <v>1</v>
      </c>
      <c r="L9" s="43">
        <v>1</v>
      </c>
      <c r="M9" s="42">
        <v>1</v>
      </c>
      <c r="N9" s="43" t="s">
        <v>35</v>
      </c>
      <c r="O9" s="42" t="s">
        <v>35</v>
      </c>
      <c r="P9" s="42" t="s">
        <v>35</v>
      </c>
      <c r="Q9" s="42">
        <v>4</v>
      </c>
      <c r="R9" s="54"/>
      <c r="S9" s="42">
        <v>1</v>
      </c>
      <c r="T9" s="42" t="s">
        <v>35</v>
      </c>
      <c r="U9" s="55">
        <v>29</v>
      </c>
      <c r="V9" s="42" t="s">
        <v>36</v>
      </c>
      <c r="W9" s="42">
        <v>1</v>
      </c>
      <c r="X9" s="42">
        <v>4</v>
      </c>
      <c r="Y9" s="42">
        <v>4</v>
      </c>
      <c r="Z9" s="42">
        <v>5</v>
      </c>
      <c r="AA9" s="42">
        <v>4</v>
      </c>
      <c r="AB9" s="42"/>
      <c r="AC9" s="25"/>
      <c r="AD9" s="70"/>
    </row>
    <row r="10" s="3" customFormat="1" ht="28.55" spans="1:30">
      <c r="A10" s="21" t="s">
        <v>62</v>
      </c>
      <c r="B10" s="22" t="s">
        <v>63</v>
      </c>
      <c r="C10" s="23">
        <v>1700000</v>
      </c>
      <c r="D10" s="17">
        <v>38</v>
      </c>
      <c r="E10" s="18">
        <f t="shared" si="0"/>
        <v>44736.8421052632</v>
      </c>
      <c r="F10" s="13"/>
      <c r="G10" s="20">
        <f t="shared" si="1"/>
        <v>38</v>
      </c>
      <c r="H10" s="18">
        <f t="shared" si="2"/>
        <v>44736.8421052632</v>
      </c>
      <c r="I10" s="41">
        <v>50000</v>
      </c>
      <c r="J10" s="18">
        <f t="shared" si="3"/>
        <v>1315.78947368421</v>
      </c>
      <c r="K10" s="44">
        <v>1</v>
      </c>
      <c r="L10" s="43">
        <v>1</v>
      </c>
      <c r="M10" s="44">
        <v>1</v>
      </c>
      <c r="N10" s="43" t="s">
        <v>35</v>
      </c>
      <c r="O10" s="44" t="s">
        <v>35</v>
      </c>
      <c r="P10" s="44" t="s">
        <v>35</v>
      </c>
      <c r="Q10" s="44">
        <v>1</v>
      </c>
      <c r="R10" s="56"/>
      <c r="S10" s="44">
        <v>1</v>
      </c>
      <c r="T10" s="57" t="s">
        <v>35</v>
      </c>
      <c r="U10" s="58" t="s">
        <v>40</v>
      </c>
      <c r="V10" s="42" t="s">
        <v>41</v>
      </c>
      <c r="W10" s="44">
        <v>1</v>
      </c>
      <c r="X10" s="44">
        <v>4</v>
      </c>
      <c r="Y10" s="44">
        <v>4</v>
      </c>
      <c r="Z10" s="44">
        <v>5</v>
      </c>
      <c r="AA10" s="42">
        <v>4</v>
      </c>
      <c r="AB10" s="42"/>
      <c r="AC10" s="71">
        <v>192549572</v>
      </c>
      <c r="AD10" s="70" t="s">
        <v>46</v>
      </c>
    </row>
    <row r="11" s="3" customFormat="1" ht="27" customHeight="1" spans="1:30">
      <c r="A11" s="24"/>
      <c r="B11" s="25" t="s">
        <v>64</v>
      </c>
      <c r="C11" s="23">
        <v>1900000</v>
      </c>
      <c r="D11" s="17">
        <v>50</v>
      </c>
      <c r="E11" s="18">
        <f t="shared" si="0"/>
        <v>38000</v>
      </c>
      <c r="F11" s="16"/>
      <c r="G11" s="20">
        <f t="shared" si="1"/>
        <v>50</v>
      </c>
      <c r="H11" s="26">
        <f t="shared" si="2"/>
        <v>38000</v>
      </c>
      <c r="I11" s="41">
        <v>198700</v>
      </c>
      <c r="J11" s="18">
        <f t="shared" si="3"/>
        <v>3974</v>
      </c>
      <c r="K11" s="44">
        <v>1</v>
      </c>
      <c r="L11" s="43">
        <v>1</v>
      </c>
      <c r="M11" s="44">
        <v>1</v>
      </c>
      <c r="N11" s="43" t="s">
        <v>35</v>
      </c>
      <c r="O11" s="44" t="s">
        <v>35</v>
      </c>
      <c r="P11" s="44" t="s">
        <v>35</v>
      </c>
      <c r="Q11" s="44">
        <v>6</v>
      </c>
      <c r="R11" s="56"/>
      <c r="S11" s="44">
        <v>1</v>
      </c>
      <c r="T11" s="42" t="s">
        <v>35</v>
      </c>
      <c r="U11" s="58" t="s">
        <v>51</v>
      </c>
      <c r="V11" s="42" t="s">
        <v>41</v>
      </c>
      <c r="W11" s="44">
        <v>1</v>
      </c>
      <c r="X11" s="44">
        <v>4</v>
      </c>
      <c r="Y11" s="44">
        <v>4</v>
      </c>
      <c r="Z11" s="44">
        <v>5</v>
      </c>
      <c r="AA11" s="42">
        <v>4</v>
      </c>
      <c r="AB11" s="42"/>
      <c r="AC11" s="72" t="s">
        <v>65</v>
      </c>
      <c r="AD11" s="73" t="s">
        <v>66</v>
      </c>
    </row>
    <row r="12" s="3" customFormat="1" ht="27" customHeight="1" spans="1:30">
      <c r="A12" s="24"/>
      <c r="B12" s="25" t="s">
        <v>67</v>
      </c>
      <c r="C12" s="23">
        <v>1960000</v>
      </c>
      <c r="D12" s="17">
        <v>57</v>
      </c>
      <c r="E12" s="18">
        <f t="shared" si="0"/>
        <v>34385.9649122807</v>
      </c>
      <c r="F12" s="16"/>
      <c r="G12" s="20">
        <f t="shared" si="1"/>
        <v>57</v>
      </c>
      <c r="H12" s="26">
        <f t="shared" si="2"/>
        <v>34385.9649122807</v>
      </c>
      <c r="I12" s="41">
        <v>307800</v>
      </c>
      <c r="J12" s="18">
        <f t="shared" si="3"/>
        <v>5400</v>
      </c>
      <c r="K12" s="44">
        <v>1</v>
      </c>
      <c r="L12" s="43">
        <v>2</v>
      </c>
      <c r="M12" s="44">
        <v>1</v>
      </c>
      <c r="N12" s="43" t="s">
        <v>35</v>
      </c>
      <c r="O12" s="44" t="s">
        <v>35</v>
      </c>
      <c r="P12" s="44" t="s">
        <v>35</v>
      </c>
      <c r="Q12" s="44">
        <v>11</v>
      </c>
      <c r="R12" s="56"/>
      <c r="S12" s="44">
        <v>1</v>
      </c>
      <c r="T12" s="42" t="s">
        <v>35</v>
      </c>
      <c r="U12" s="59" t="s">
        <v>68</v>
      </c>
      <c r="V12" s="57" t="s">
        <v>41</v>
      </c>
      <c r="W12" s="44">
        <v>1</v>
      </c>
      <c r="X12" s="44">
        <v>4</v>
      </c>
      <c r="Y12" s="44">
        <v>4</v>
      </c>
      <c r="Z12" s="44">
        <v>5</v>
      </c>
      <c r="AA12" s="42">
        <v>4</v>
      </c>
      <c r="AB12" s="42"/>
      <c r="AC12" s="72" t="s">
        <v>69</v>
      </c>
      <c r="AD12" s="73" t="s">
        <v>66</v>
      </c>
    </row>
    <row r="13" s="3" customFormat="1" ht="27" customHeight="1" spans="1:30">
      <c r="A13" s="24"/>
      <c r="B13" s="25" t="s">
        <v>70</v>
      </c>
      <c r="C13" s="23">
        <v>1700000</v>
      </c>
      <c r="D13" s="17">
        <v>40</v>
      </c>
      <c r="E13" s="18">
        <f t="shared" si="0"/>
        <v>42500</v>
      </c>
      <c r="F13" s="16"/>
      <c r="G13" s="20">
        <f t="shared" si="1"/>
        <v>40</v>
      </c>
      <c r="H13" s="26">
        <f t="shared" si="2"/>
        <v>42500</v>
      </c>
      <c r="I13" s="41">
        <v>270000</v>
      </c>
      <c r="J13" s="18">
        <f t="shared" si="3"/>
        <v>6750</v>
      </c>
      <c r="K13" s="44">
        <v>1</v>
      </c>
      <c r="L13" s="43">
        <v>1</v>
      </c>
      <c r="M13" s="44">
        <v>1</v>
      </c>
      <c r="N13" s="43" t="s">
        <v>35</v>
      </c>
      <c r="O13" s="44" t="s">
        <v>35</v>
      </c>
      <c r="P13" s="44" t="s">
        <v>35</v>
      </c>
      <c r="Q13" s="44">
        <v>4</v>
      </c>
      <c r="R13" s="56"/>
      <c r="S13" s="44">
        <v>1</v>
      </c>
      <c r="T13" s="42" t="s">
        <v>35</v>
      </c>
      <c r="U13" s="59" t="s">
        <v>45</v>
      </c>
      <c r="V13" s="42" t="s">
        <v>41</v>
      </c>
      <c r="W13" s="44">
        <v>1</v>
      </c>
      <c r="X13" s="44">
        <v>4</v>
      </c>
      <c r="Y13" s="44">
        <v>4</v>
      </c>
      <c r="Z13" s="44">
        <v>5</v>
      </c>
      <c r="AA13" s="42">
        <v>4</v>
      </c>
      <c r="AB13" s="42"/>
      <c r="AC13" s="71" t="s">
        <v>71</v>
      </c>
      <c r="AD13" s="73" t="s">
        <v>66</v>
      </c>
    </row>
    <row r="14" s="3" customFormat="1" ht="27" customHeight="1" spans="1:30">
      <c r="A14" s="24"/>
      <c r="B14" s="27"/>
      <c r="C14" s="23">
        <v>262766660</v>
      </c>
      <c r="D14" s="17">
        <v>40</v>
      </c>
      <c r="E14" s="18">
        <f t="shared" si="0"/>
        <v>6569166.5</v>
      </c>
      <c r="F14" s="16"/>
      <c r="G14" s="20">
        <f t="shared" si="1"/>
        <v>40</v>
      </c>
      <c r="H14" s="26">
        <f t="shared" si="2"/>
        <v>6569166.5</v>
      </c>
      <c r="I14" s="41">
        <v>339000</v>
      </c>
      <c r="J14" s="18">
        <f t="shared" si="3"/>
        <v>8475</v>
      </c>
      <c r="K14" s="44">
        <v>1</v>
      </c>
      <c r="L14" s="43">
        <v>1</v>
      </c>
      <c r="M14" s="44">
        <v>1</v>
      </c>
      <c r="N14" s="43" t="s">
        <v>35</v>
      </c>
      <c r="O14" s="44" t="s">
        <v>35</v>
      </c>
      <c r="P14" s="44" t="s">
        <v>35</v>
      </c>
      <c r="Q14" s="44">
        <v>3</v>
      </c>
      <c r="R14" s="56"/>
      <c r="S14" s="44">
        <v>1</v>
      </c>
      <c r="T14" s="42" t="s">
        <v>39</v>
      </c>
      <c r="U14" s="58" t="s">
        <v>51</v>
      </c>
      <c r="V14" s="42" t="s">
        <v>36</v>
      </c>
      <c r="W14" s="44">
        <v>1</v>
      </c>
      <c r="X14" s="44">
        <v>4</v>
      </c>
      <c r="Y14" s="44">
        <v>4</v>
      </c>
      <c r="Z14" s="44">
        <v>5</v>
      </c>
      <c r="AA14" s="42">
        <v>4</v>
      </c>
      <c r="AB14" s="42"/>
      <c r="AC14" s="71">
        <v>191119941</v>
      </c>
      <c r="AD14" s="70" t="s">
        <v>46</v>
      </c>
    </row>
    <row r="15" s="3" customFormat="1" ht="27" customHeight="1" spans="1:30">
      <c r="A15" s="24"/>
      <c r="B15" s="28"/>
      <c r="C15" s="23">
        <v>260000000</v>
      </c>
      <c r="D15" s="17">
        <v>36</v>
      </c>
      <c r="E15" s="18">
        <f t="shared" si="0"/>
        <v>7222222.22222222</v>
      </c>
      <c r="F15" s="16"/>
      <c r="G15" s="20">
        <f t="shared" si="1"/>
        <v>36</v>
      </c>
      <c r="H15" s="26">
        <f t="shared" si="2"/>
        <v>7222222.22222222</v>
      </c>
      <c r="I15" s="41">
        <v>269999</v>
      </c>
      <c r="J15" s="18">
        <f t="shared" si="3"/>
        <v>7499.97222222222</v>
      </c>
      <c r="K15" s="44">
        <v>1</v>
      </c>
      <c r="L15" s="43">
        <v>1</v>
      </c>
      <c r="M15" s="44">
        <v>1</v>
      </c>
      <c r="N15" s="43" t="s">
        <v>35</v>
      </c>
      <c r="O15" s="44" t="s">
        <v>39</v>
      </c>
      <c r="P15" s="44" t="s">
        <v>35</v>
      </c>
      <c r="Q15" s="44">
        <v>4</v>
      </c>
      <c r="R15" s="56"/>
      <c r="S15" s="44">
        <v>1</v>
      </c>
      <c r="T15" s="42" t="s">
        <v>39</v>
      </c>
      <c r="U15" s="58" t="s">
        <v>53</v>
      </c>
      <c r="V15" s="42" t="s">
        <v>41</v>
      </c>
      <c r="W15" s="44">
        <v>1</v>
      </c>
      <c r="X15" s="44">
        <v>4</v>
      </c>
      <c r="Y15" s="44">
        <v>4</v>
      </c>
      <c r="Z15" s="44">
        <v>5</v>
      </c>
      <c r="AA15" s="42">
        <v>4</v>
      </c>
      <c r="AB15" s="42"/>
      <c r="AC15" s="74">
        <v>192204699</v>
      </c>
      <c r="AD15" s="70" t="s">
        <v>46</v>
      </c>
    </row>
    <row r="16" s="3" customFormat="1" ht="27" customHeight="1" spans="1:30">
      <c r="A16" s="24"/>
      <c r="B16" s="28"/>
      <c r="C16" s="23">
        <v>275000000</v>
      </c>
      <c r="D16" s="17">
        <v>48</v>
      </c>
      <c r="E16" s="18">
        <f t="shared" si="0"/>
        <v>5729166.66666667</v>
      </c>
      <c r="F16" s="16"/>
      <c r="G16" s="20">
        <f t="shared" si="1"/>
        <v>48</v>
      </c>
      <c r="H16" s="26">
        <f t="shared" si="2"/>
        <v>5729166.66666667</v>
      </c>
      <c r="I16" s="41">
        <v>450000</v>
      </c>
      <c r="J16" s="18">
        <f t="shared" si="3"/>
        <v>9375</v>
      </c>
      <c r="K16" s="44">
        <v>1</v>
      </c>
      <c r="L16" s="43">
        <v>2</v>
      </c>
      <c r="M16" s="44">
        <v>1</v>
      </c>
      <c r="N16" s="43" t="s">
        <v>35</v>
      </c>
      <c r="O16" s="44" t="s">
        <v>35</v>
      </c>
      <c r="P16" s="44" t="s">
        <v>39</v>
      </c>
      <c r="Q16" s="44">
        <v>2</v>
      </c>
      <c r="R16" s="56"/>
      <c r="S16" s="44">
        <v>1</v>
      </c>
      <c r="T16" s="42" t="s">
        <v>39</v>
      </c>
      <c r="U16" s="58" t="s">
        <v>53</v>
      </c>
      <c r="V16" s="42" t="s">
        <v>41</v>
      </c>
      <c r="W16" s="44">
        <v>1</v>
      </c>
      <c r="X16" s="44">
        <v>4</v>
      </c>
      <c r="Y16" s="44">
        <v>4</v>
      </c>
      <c r="Z16" s="44">
        <v>5</v>
      </c>
      <c r="AA16" s="42">
        <v>5</v>
      </c>
      <c r="AB16" s="42"/>
      <c r="AC16" s="71">
        <v>0</v>
      </c>
      <c r="AD16" s="70" t="s">
        <v>46</v>
      </c>
    </row>
    <row r="17" s="3" customFormat="1" ht="27" customHeight="1" spans="1:30">
      <c r="A17" s="24"/>
      <c r="B17" s="28"/>
      <c r="C17" s="23">
        <v>260000000</v>
      </c>
      <c r="D17" s="17">
        <v>67</v>
      </c>
      <c r="E17" s="18">
        <f t="shared" si="0"/>
        <v>3880597.01492537</v>
      </c>
      <c r="F17" s="16"/>
      <c r="G17" s="20">
        <f t="shared" si="1"/>
        <v>67</v>
      </c>
      <c r="H17" s="26">
        <f t="shared" si="2"/>
        <v>3880597.01492537</v>
      </c>
      <c r="I17" s="41">
        <v>387800</v>
      </c>
      <c r="J17" s="18">
        <f t="shared" si="3"/>
        <v>5788.05970149254</v>
      </c>
      <c r="K17" s="44">
        <v>2</v>
      </c>
      <c r="L17" s="43">
        <v>2</v>
      </c>
      <c r="M17" s="44">
        <v>1</v>
      </c>
      <c r="N17" s="43" t="s">
        <v>35</v>
      </c>
      <c r="O17" s="44" t="s">
        <v>35</v>
      </c>
      <c r="P17" s="44" t="s">
        <v>35</v>
      </c>
      <c r="Q17" s="44">
        <v>2</v>
      </c>
      <c r="R17" s="56"/>
      <c r="S17" s="44">
        <v>1</v>
      </c>
      <c r="T17" s="42" t="s">
        <v>39</v>
      </c>
      <c r="U17" s="58" t="s">
        <v>53</v>
      </c>
      <c r="V17" s="42" t="s">
        <v>36</v>
      </c>
      <c r="W17" s="44">
        <v>1</v>
      </c>
      <c r="X17" s="44">
        <v>4</v>
      </c>
      <c r="Y17" s="44">
        <v>4</v>
      </c>
      <c r="Z17" s="44">
        <v>5</v>
      </c>
      <c r="AA17" s="42">
        <v>6</v>
      </c>
      <c r="AB17" s="42"/>
      <c r="AC17" s="71">
        <v>0</v>
      </c>
      <c r="AD17" s="70" t="s">
        <v>46</v>
      </c>
    </row>
    <row r="18" s="3" customFormat="1" ht="27" customHeight="1" spans="1:30">
      <c r="A18" s="24"/>
      <c r="B18" s="25"/>
      <c r="C18" s="23"/>
      <c r="D18" s="17"/>
      <c r="E18" s="18">
        <v>0</v>
      </c>
      <c r="F18" s="16"/>
      <c r="G18" s="20">
        <f t="shared" si="1"/>
        <v>0</v>
      </c>
      <c r="H18" s="26" t="e">
        <f t="shared" si="2"/>
        <v>#DIV/0!</v>
      </c>
      <c r="I18" s="41">
        <v>400000</v>
      </c>
      <c r="J18" s="18" t="e">
        <f t="shared" si="3"/>
        <v>#DIV/0!</v>
      </c>
      <c r="K18" s="44">
        <v>1</v>
      </c>
      <c r="L18" s="43">
        <v>1.5</v>
      </c>
      <c r="M18" s="44">
        <v>1</v>
      </c>
      <c r="N18" s="43" t="s">
        <v>35</v>
      </c>
      <c r="O18" s="44" t="s">
        <v>35</v>
      </c>
      <c r="P18" s="44" t="s">
        <v>39</v>
      </c>
      <c r="Q18" s="44">
        <v>5</v>
      </c>
      <c r="R18" s="56"/>
      <c r="S18" s="44">
        <v>1</v>
      </c>
      <c r="T18" s="42" t="s">
        <v>39</v>
      </c>
      <c r="U18" s="58" t="s">
        <v>53</v>
      </c>
      <c r="V18" s="42" t="s">
        <v>36</v>
      </c>
      <c r="W18" s="44">
        <v>1</v>
      </c>
      <c r="X18" s="44">
        <v>4</v>
      </c>
      <c r="Y18" s="44">
        <v>4</v>
      </c>
      <c r="Z18" s="44">
        <v>5</v>
      </c>
      <c r="AA18" s="42">
        <v>6</v>
      </c>
      <c r="AB18" s="42"/>
      <c r="AC18" s="75">
        <v>0</v>
      </c>
      <c r="AD18" s="70" t="s">
        <v>46</v>
      </c>
    </row>
    <row r="19" s="3" customFormat="1" ht="27" customHeight="1" spans="1:30">
      <c r="A19" s="24"/>
      <c r="B19" s="25"/>
      <c r="C19" s="23"/>
      <c r="D19" s="17"/>
      <c r="E19" s="18">
        <v>0</v>
      </c>
      <c r="F19" s="16"/>
      <c r="G19" s="20">
        <f t="shared" si="1"/>
        <v>0</v>
      </c>
      <c r="H19" s="26" t="e">
        <f t="shared" si="2"/>
        <v>#DIV/0!</v>
      </c>
      <c r="I19" s="41">
        <v>526000</v>
      </c>
      <c r="J19" s="18" t="e">
        <f t="shared" si="3"/>
        <v>#DIV/0!</v>
      </c>
      <c r="K19" s="44">
        <v>1</v>
      </c>
      <c r="L19" s="43">
        <v>1.5</v>
      </c>
      <c r="M19" s="44">
        <v>1</v>
      </c>
      <c r="N19" s="43" t="s">
        <v>39</v>
      </c>
      <c r="O19" s="44" t="s">
        <v>35</v>
      </c>
      <c r="P19" s="44" t="s">
        <v>35</v>
      </c>
      <c r="Q19" s="44">
        <v>5</v>
      </c>
      <c r="R19" s="56"/>
      <c r="S19" s="44">
        <v>1</v>
      </c>
      <c r="T19" s="42" t="s">
        <v>39</v>
      </c>
      <c r="U19" s="58" t="s">
        <v>53</v>
      </c>
      <c r="V19" s="42" t="s">
        <v>36</v>
      </c>
      <c r="W19" s="44">
        <v>1</v>
      </c>
      <c r="X19" s="44">
        <v>4</v>
      </c>
      <c r="Y19" s="44">
        <v>4</v>
      </c>
      <c r="Z19" s="44">
        <v>5</v>
      </c>
      <c r="AA19" s="42">
        <v>6</v>
      </c>
      <c r="AB19" s="42"/>
      <c r="AC19" s="75">
        <v>0</v>
      </c>
      <c r="AD19" s="70" t="s">
        <v>46</v>
      </c>
    </row>
    <row r="20" s="3" customFormat="1" ht="35.25" customHeight="1" spans="1:30">
      <c r="A20" s="29"/>
      <c r="B20" s="25"/>
      <c r="C20" s="23"/>
      <c r="D20" s="17"/>
      <c r="E20" s="18"/>
      <c r="F20" s="23"/>
      <c r="G20" s="20"/>
      <c r="H20" s="26"/>
      <c r="I20" s="45"/>
      <c r="J20" s="18"/>
      <c r="K20" s="46"/>
      <c r="L20" s="46"/>
      <c r="M20" s="46"/>
      <c r="N20" s="46"/>
      <c r="O20" s="46"/>
      <c r="P20" s="46"/>
      <c r="Q20" s="46"/>
      <c r="R20" s="60"/>
      <c r="S20" s="46"/>
      <c r="T20" s="61"/>
      <c r="U20" s="55"/>
      <c r="V20" s="42"/>
      <c r="W20" s="44"/>
      <c r="X20" s="44"/>
      <c r="Y20" s="44"/>
      <c r="Z20" s="44"/>
      <c r="AA20" s="42"/>
      <c r="AB20" s="13"/>
      <c r="AC20" s="76"/>
      <c r="AD20" s="70"/>
    </row>
    <row r="21" s="4" customFormat="1" ht="35.25" customHeight="1" spans="1:30">
      <c r="A21" s="29"/>
      <c r="B21" s="30"/>
      <c r="C21" s="31" t="s">
        <v>56</v>
      </c>
      <c r="D21" s="31"/>
      <c r="E21" s="31"/>
      <c r="F21" s="31"/>
      <c r="G21" s="31"/>
      <c r="H21" s="32">
        <f>SUM(H5:H14)/7</f>
        <v>968318.301399544</v>
      </c>
      <c r="I21" s="47">
        <f>1-H21/H9</f>
        <v>-18.5862004531735</v>
      </c>
      <c r="J21" s="48"/>
      <c r="K21" s="49"/>
      <c r="L21" s="49"/>
      <c r="M21" s="49"/>
      <c r="N21" s="49"/>
      <c r="O21" s="49"/>
      <c r="P21" s="49"/>
      <c r="Q21" s="49"/>
      <c r="R21" s="62"/>
      <c r="S21" s="63"/>
      <c r="T21" s="64"/>
      <c r="U21" s="65"/>
      <c r="V21" s="64"/>
      <c r="W21" s="63"/>
      <c r="X21" s="63"/>
      <c r="Y21" s="63"/>
      <c r="Z21" s="63"/>
      <c r="AA21" s="63"/>
      <c r="AB21" s="77"/>
      <c r="AC21" s="78"/>
      <c r="AD21" s="79"/>
    </row>
    <row r="22" ht="41.25" customHeight="1" spans="1:30">
      <c r="A22" s="33" t="s">
        <v>57</v>
      </c>
      <c r="B22" s="33"/>
      <c r="C22" s="33"/>
      <c r="D22" s="34" t="str">
        <f>C3</f>
        <v>Fecha:Mayo 20 - 2025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66"/>
      <c r="R22" s="67" t="s">
        <v>58</v>
      </c>
      <c r="S22" s="68"/>
      <c r="T22" s="68"/>
      <c r="U22" s="68"/>
      <c r="V22" s="68"/>
      <c r="W22" s="68"/>
      <c r="X22" s="68"/>
      <c r="Y22" s="68"/>
      <c r="Z22" s="80"/>
      <c r="AA22" s="81"/>
      <c r="AB22" s="82"/>
      <c r="AC22" s="83">
        <f>SUM(C10:C13)/SUM(G10:G13)*G9</f>
        <v>1468482.16216216</v>
      </c>
      <c r="AD22" s="84"/>
    </row>
    <row r="23" ht="36" customHeight="1" spans="1:28">
      <c r="A23" s="35"/>
      <c r="B23" s="35"/>
      <c r="C23" s="35"/>
      <c r="D23" s="35"/>
      <c r="E23" s="3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AA23" s="5"/>
      <c r="AB23" s="5"/>
    </row>
    <row r="24" ht="36" customHeight="1" spans="1:28">
      <c r="A24" s="35"/>
      <c r="B24" s="35"/>
      <c r="C24" s="35"/>
      <c r="D24" s="35"/>
      <c r="E24" s="3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AA24" s="5"/>
      <c r="AB24" s="5"/>
    </row>
    <row r="25" ht="36" customHeight="1" spans="1:28">
      <c r="A25" s="35"/>
      <c r="B25" s="35"/>
      <c r="C25" s="35"/>
      <c r="D25" s="35"/>
      <c r="E25" s="3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AA25" s="5"/>
      <c r="AB25" s="5"/>
    </row>
    <row r="26" ht="30" customHeight="1" spans="3:29">
      <c r="C26" s="8"/>
      <c r="D26" s="8"/>
      <c r="E26" s="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AA26" s="5"/>
      <c r="AB26" s="5"/>
      <c r="AC26" s="35"/>
    </row>
    <row r="27" ht="15" customHeight="1" spans="4:25">
      <c r="D27" s="8"/>
      <c r="E27" s="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4:25">
      <c r="D28" s="8"/>
      <c r="E28" s="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30" spans="3:3">
      <c r="C30" s="36"/>
    </row>
    <row r="31" spans="3:3">
      <c r="C31" s="36"/>
    </row>
    <row r="32" spans="3:3">
      <c r="C32" s="36"/>
    </row>
    <row r="33" spans="3:3">
      <c r="C33" s="36"/>
    </row>
    <row r="34" ht="27.75" customHeight="1" spans="9:9">
      <c r="I34" s="50"/>
    </row>
  </sheetData>
  <mergeCells count="32">
    <mergeCell ref="C2:AD2"/>
    <mergeCell ref="C3:AD3"/>
    <mergeCell ref="C4:AD4"/>
    <mergeCell ref="C5:AD5"/>
    <mergeCell ref="D7:E7"/>
    <mergeCell ref="G7:H7"/>
    <mergeCell ref="I7:J7"/>
    <mergeCell ref="A22:C22"/>
    <mergeCell ref="D22:Q22"/>
    <mergeCell ref="A10:A19"/>
    <mergeCell ref="C7:C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7:B8"/>
  </mergeCells>
  <hyperlinks>
    <hyperlink ref="B10" r:id="rId2" display="https://www.fincaraiz.com.co/apartaestudio-en-arriendo-en-cedritos-bogota/192549572?_gl=1*1jzvm83*_up*MQ..*_gs*MQ..&amp;gclid=CjwKCAjw9uPCBhATEiwABHN9K3Av_Lyc_ybLGrx6M9KxBX73QKOZGw_PnyoBnyoj2UPnSJIdPbtxuBoClnUQAvD_BwE&amp;gbraid=0AAAAADxcnHgLG17pGDSvEROQTmhZQ7yzY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ACM EN VENTA </vt:lpstr>
      <vt:lpstr>ACM EN ARRIENDO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Quintero</dc:creator>
  <cp:lastModifiedBy>USUARIO</cp:lastModifiedBy>
  <dcterms:created xsi:type="dcterms:W3CDTF">2006-06-20T14:34:00Z</dcterms:created>
  <cp:lastPrinted>2016-02-05T22:27:00Z</cp:lastPrinted>
  <dcterms:modified xsi:type="dcterms:W3CDTF">2025-07-23T22:44:37Z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B2F8A76149B846FC95F37DC6BDB96AB9_13</vt:lpwstr>
  </property>
  <property fmtid="{D5CDD505-2E9C-101B-9397-08002B2CF9AE}" pid="3" name="KSOProductBuildVer">
    <vt:lpwstr>3082-12.2.0.21931</vt:lpwstr>
  </property>
</Properties>
</file>